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3615_2014_07_14" localSheetId="13">Gaps!#REF!</definedName>
    <definedName name="_3615_2014_07_14_1" localSheetId="13">Gaps!#REF!</definedName>
    <definedName name="_3615_2014_07_14_2" localSheetId="13">Gaps!#REF!</definedName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609" i="6" l="1"/>
  <c r="B179" i="6" l="1"/>
  <c r="B608" i="6" l="1"/>
  <c r="B220" i="6" l="1"/>
  <c r="B190" i="6" l="1"/>
  <c r="B199" i="6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80" i="6"/>
  <c r="B181" i="6"/>
  <c r="B182" i="6"/>
  <c r="B183" i="6"/>
  <c r="B184" i="6"/>
  <c r="B185" i="6"/>
  <c r="B186" i="6"/>
  <c r="B187" i="6"/>
  <c r="B188" i="6"/>
  <c r="B189" i="6"/>
  <c r="B191" i="6"/>
  <c r="B192" i="6"/>
  <c r="B193" i="6"/>
  <c r="B194" i="6"/>
  <c r="B195" i="6"/>
  <c r="B196" i="6"/>
  <c r="B197" i="6"/>
  <c r="B198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10" i="6"/>
  <c r="B611" i="6"/>
  <c r="B612" i="6"/>
  <c r="B613" i="6"/>
  <c r="B614" i="6"/>
  <c r="B615" i="6"/>
  <c r="B616" i="6"/>
  <c r="B617" i="6"/>
  <c r="B618" i="6"/>
  <c r="B619" i="6"/>
  <c r="B620" i="6"/>
</calcChain>
</file>

<file path=xl/sharedStrings.xml><?xml version="1.0" encoding="utf-8"?>
<sst xmlns="http://schemas.openxmlformats.org/spreadsheetml/2006/main" count="754" uniqueCount="160">
  <si>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</si>
  <si>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</si>
  <si>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</si>
  <si>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</si>
  <si>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</si>
  <si>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</si>
  <si>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</si>
  <si>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</si>
  <si>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</si>
  <si>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</si>
  <si>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</si>
  <si>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</si>
  <si>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</si>
  <si>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</si>
  <si>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</si>
  <si>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</si>
  <si>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</si>
  <si>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</si>
  <si>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</si>
  <si>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</si>
  <si>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</si>
  <si>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</si>
  <si>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</si>
  <si>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</si>
  <si>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</si>
  <si>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</si>
  <si>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</si>
  <si>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</si>
  <si>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</si>
  <si>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</si>
  <si>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</si>
  <si>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</si>
  <si>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</si>
  <si>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</si>
  <si>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</si>
  <si>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</si>
  <si>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</si>
  <si>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</si>
  <si>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</si>
  <si>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</si>
  <si>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</si>
  <si>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</si>
  <si>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</si>
  <si>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</si>
  <si>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</si>
  <si>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</si>
  <si>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</si>
  <si>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</si>
  <si>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</si>
  <si>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</si>
  <si>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</si>
  <si>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</si>
  <si>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</si>
  <si>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</si>
  <si>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</si>
  <si>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</si>
  <si>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</si>
  <si>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</si>
  <si>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</si>
  <si>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</si>
  <si>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</si>
  <si>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</si>
  <si>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</si>
  <si>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</si>
  <si>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</si>
  <si>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</si>
  <si>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</si>
  <si>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</si>
  <si>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</si>
  <si>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</si>
  <si>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</si>
  <si>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</si>
  <si>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</si>
  <si>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</si>
  <si>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</si>
  <si>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</si>
  <si>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</si>
  <si>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</si>
  <si>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</si>
  <si>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</si>
  <si>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</si>
  <si>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</si>
  <si>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</si>
  <si>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</si>
  <si>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</si>
  <si>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</si>
  <si>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</si>
  <si>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</si>
  <si>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</si>
  <si>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</si>
  <si>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</si>
  <si>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</si>
  <si>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</si>
  <si>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</si>
  <si>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</si>
  <si>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</si>
  <si>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</si>
  <si>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</si>
  <si>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</si>
  <si>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</si>
  <si>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</si>
  <si>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</si>
  <si>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</si>
  <si>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</si>
  <si>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</si>
  <si>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</si>
  <si>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</si>
  <si>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</si>
  <si>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</si>
  <si>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</si>
  <si>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</si>
  <si>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</si>
  <si>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</si>
  <si>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</si>
  <si>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</si>
  <si>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</si>
  <si>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</si>
  <si>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</si>
  <si>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</si>
  <si>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</si>
  <si>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</si>
  <si>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</si>
  <si>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</si>
  <si>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</si>
  <si>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</si>
  <si>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</si>
  <si>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</si>
  <si>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</si>
  <si>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</si>
  <si>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</si>
  <si>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</si>
  <si>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</si>
  <si>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</si>
  <si>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</si>
  <si>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</si>
  <si>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</si>
  <si>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</si>
  <si>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</si>
  <si>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</si>
  <si>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</si>
  <si>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</si>
  <si>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</si>
  <si>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</si>
  <si>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</si>
  <si>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</si>
  <si>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</si>
  <si>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</si>
  <si>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</si>
  <si>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</si>
  <si>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</si>
  <si>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</si>
  <si>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</si>
  <si>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</si>
  <si>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</si>
  <si>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</si>
  <si>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</si>
  <si>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</si>
  <si>
    <t>SVP738601</t>
  </si>
  <si>
    <t>SVP738701</t>
  </si>
  <si>
    <t>SVP890001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</si>
</sst>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 t="shared" ref="A17:A22" si="0"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 t="shared" si="0"/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 t="shared" si="0"/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 t="shared" si="0"/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 t="shared" si="0"/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 t="shared" si="0"/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 t="shared" ref="A23:A33" si="1"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 t="shared" si="1"/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 t="shared" si="1"/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 t="shared" si="1"/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 t="shared" si="1"/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 t="shared" si="1"/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 t="shared" si="1"/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 t="shared" si="1"/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 t="shared" si="1"/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 t="shared" si="1"/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 t="shared" si="1"/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 t="shared" ref="A34:A41" si="2"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 t="shared" si="2"/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 t="shared" si="2"/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 t="shared" si="2"/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 t="shared" si="2"/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 t="shared" si="2"/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 t="shared" si="2"/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 t="shared" si="2"/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 t="shared" ref="A42:A51" si="3"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 t="shared" si="3"/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 t="shared" si="3"/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 t="shared" si="3"/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 t="shared" si="3"/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 t="shared" si="3"/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 t="shared" si="3"/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 t="shared" si="3"/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 t="shared" si="3"/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 t="shared" si="3"/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 t="shared" ref="A58:A64" si="4"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 t="shared" si="4"/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 t="shared" si="4"/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 t="shared" si="4"/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 t="shared" si="4"/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 t="shared" si="4"/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 t="shared" si="4"/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 t="shared" ref="A65:A71" si="5"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 t="shared" si="5"/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 t="shared" si="5"/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 t="shared" si="5"/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 t="shared" si="5"/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 t="shared" si="5"/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 t="shared" si="5"/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 t="shared" ref="A76:A82" si="6"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 t="shared" si="6"/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 t="shared" si="6"/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 t="shared" si="6"/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 t="shared" si="6"/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 t="shared" si="6"/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 t="shared" si="6"/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 t="shared" ref="A83:A89" si="7"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 t="shared" si="7"/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 t="shared" si="7"/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 t="shared" si="7"/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 t="shared" si="7"/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 t="shared" si="7"/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 t="shared" si="7"/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 t="shared" ref="A90:A116" si="8"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 t="shared" si="8"/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 t="shared" si="8"/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 t="shared" si="8"/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 t="shared" si="8"/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 t="shared" si="8"/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 t="shared" si="8"/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 t="shared" si="8"/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 t="shared" si="8"/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 t="shared" si="8"/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 t="shared" si="8"/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 t="shared" si="8"/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 t="shared" si="8"/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 t="shared" si="8"/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 t="shared" si="8"/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 t="shared" si="8"/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 t="shared" si="8"/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 t="shared" si="8"/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 t="shared" si="8"/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 t="shared" si="8"/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 t="shared" si="8"/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 t="shared" si="8"/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 t="shared" si="8"/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 t="shared" si="8"/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 t="shared" si="8"/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 t="shared" si="8"/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 t="shared" si="8"/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 t="shared" ref="A117:A123" si="9"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 t="shared" si="9"/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 t="shared" si="9"/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 t="shared" si="9"/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 t="shared" si="9"/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 t="shared" si="9"/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 t="shared" si="9"/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 t="shared" ref="A124:A130" si="10"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 t="shared" si="10"/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 t="shared" si="10"/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 t="shared" si="10"/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 t="shared" si="10"/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 t="shared" si="10"/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 t="shared" si="10"/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 t="shared" ref="A131:A136" si="11"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 t="shared" si="11"/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 t="shared" si="11"/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 t="shared" si="11"/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 t="shared" si="11"/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 t="shared" si="11"/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 t="shared" ref="A158:A164" si="12"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 t="shared" si="12"/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 t="shared" si="12"/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 t="shared" si="12"/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 t="shared" si="12"/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 t="shared" si="12"/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 t="shared" si="12"/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 t="shared" ref="A167:A176" si="13"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 t="shared" si="13"/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 t="shared" si="13"/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 t="shared" si="13"/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 t="shared" si="13"/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 t="shared" si="13"/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 t="shared" si="13"/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 t="shared" si="13"/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 t="shared" si="13"/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 t="shared" si="13"/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 t="shared" ref="A187:A194" si="14"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 t="shared" si="14"/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 t="shared" si="14"/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 t="shared" si="14"/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 t="shared" si="14"/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 t="shared" si="14"/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 t="shared" si="14"/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 t="shared" si="14"/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 t="shared" ref="A195:A202" si="15"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 t="shared" si="15"/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 t="shared" si="15"/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 t="shared" si="15"/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 t="shared" si="15"/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 t="shared" si="15"/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 t="shared" si="15"/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 t="shared" si="15"/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 t="shared" ref="A203:A208" si="16"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 t="shared" si="16"/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 t="shared" si="16"/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 t="shared" si="16"/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 t="shared" si="16"/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 t="shared" si="16"/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 t="shared" ref="A209:A215" si="17"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 t="shared" si="17"/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 t="shared" si="17"/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 t="shared" si="17"/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 t="shared" si="17"/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 t="shared" si="17"/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 t="shared" si="17"/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 t="shared" ref="A224:A231" si="18"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 t="shared" si="18"/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 t="shared" si="18"/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 t="shared" si="18"/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 t="shared" si="18"/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 t="shared" si="18"/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 t="shared" si="18"/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 t="shared" si="18"/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 t="shared" ref="A232:A238" si="19"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 t="shared" si="19"/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 t="shared" si="19"/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 t="shared" si="19"/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 t="shared" si="19"/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 t="shared" si="19"/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 t="shared" si="19"/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 t="shared" ref="A243:A253" si="20"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 t="shared" si="20"/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 t="shared" si="20"/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 t="shared" si="20"/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 t="shared" si="20"/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 t="shared" si="20"/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 t="shared" si="20"/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 t="shared" si="20"/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 t="shared" si="20"/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 t="shared" si="20"/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 t="shared" si="20"/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 t="shared" ref="A254:A267" si="21"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 t="shared" si="21"/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 t="shared" si="21"/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 t="shared" si="21"/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 t="shared" si="21"/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 t="shared" si="21"/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 t="shared" si="21"/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 t="shared" si="21"/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 t="shared" si="21"/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 t="shared" si="21"/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 t="shared" si="21"/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 t="shared" si="21"/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 t="shared" si="21"/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 t="shared" si="21"/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 t="shared" ref="A277:A284" si="22"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 t="shared" si="22"/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 t="shared" si="22"/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 t="shared" si="22"/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 t="shared" si="22"/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 t="shared" si="22"/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 t="shared" si="22"/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 t="shared" si="22"/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 t="shared" ref="A285:A294" si="23"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 t="shared" si="23"/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 t="shared" si="23"/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 t="shared" si="23"/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 t="shared" si="23"/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 t="shared" si="23"/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 t="shared" si="23"/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 t="shared" si="23"/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 t="shared" si="23"/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 t="shared" si="23"/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 t="shared" ref="A295:A301" si="24"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 t="shared" si="24"/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 t="shared" si="24"/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 t="shared" si="24"/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 t="shared" si="24"/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 t="shared" si="24"/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 t="shared" si="24"/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 t="shared" ref="A326:A338" si="25"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 t="shared" si="25"/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 t="shared" si="25"/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 t="shared" si="25"/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 t="shared" si="25"/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 t="shared" si="25"/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 t="shared" si="25"/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 t="shared" si="25"/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 t="shared" si="25"/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 t="shared" si="25"/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 t="shared" si="25"/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 t="shared" si="25"/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 t="shared" si="25"/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 t="shared" ref="A339:A349" si="26"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 t="shared" si="26"/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 t="shared" si="26"/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 t="shared" si="26"/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 t="shared" si="26"/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 t="shared" si="26"/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 t="shared" si="26"/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 t="shared" si="26"/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 t="shared" si="26"/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 t="shared" si="26"/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 t="shared" si="26"/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 t="shared" ref="A350:A359" si="27"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 t="shared" si="27"/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 t="shared" si="27"/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 t="shared" si="27"/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 t="shared" si="27"/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 t="shared" si="27"/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 t="shared" si="27"/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 t="shared" si="27"/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 t="shared" si="27"/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 t="shared" si="27"/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 t="shared" ref="A360:A366" si="28"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 t="shared" si="28"/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 t="shared" si="28"/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 t="shared" si="28"/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 t="shared" si="28"/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 t="shared" si="28"/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 t="shared" si="28"/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 t="shared" ref="A383:A393" si="29"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 t="shared" si="29"/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 t="shared" si="29"/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 t="shared" si="29"/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 t="shared" si="29"/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 t="shared" si="29"/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 t="shared" si="29"/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 t="shared" si="29"/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 t="shared" si="29"/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 t="shared" si="29"/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 t="shared" si="29"/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20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8">
        <v>103872701</v>
      </c>
      <c r="B179" s="8" t="str">
        <f>"78814194000"</f>
        <v>78814194000</v>
      </c>
      <c r="C179" s="8">
        <v>103872701</v>
      </c>
    </row>
    <row r="180" spans="1:3" x14ac:dyDescent="0.25">
      <c r="A180" s="2">
        <v>1016881</v>
      </c>
      <c r="B180" s="6" t="str">
        <f>"78814193999"</f>
        <v>78814193999</v>
      </c>
      <c r="C180" s="2">
        <v>1016881</v>
      </c>
    </row>
    <row r="181" spans="1:3" x14ac:dyDescent="0.25">
      <c r="A181" s="2">
        <v>1016920</v>
      </c>
      <c r="B181" s="6" t="str">
        <f>"78814193998"</f>
        <v>78814193998</v>
      </c>
      <c r="C181" s="2">
        <v>1016920</v>
      </c>
    </row>
    <row r="182" spans="1:3" x14ac:dyDescent="0.25">
      <c r="A182" s="2">
        <v>101869302</v>
      </c>
      <c r="B182" s="6" t="str">
        <f>"78814193997"</f>
        <v>78814193997</v>
      </c>
      <c r="C182" s="2">
        <v>101869302</v>
      </c>
    </row>
    <row r="183" spans="1:3" x14ac:dyDescent="0.25">
      <c r="A183" s="2">
        <v>101869301</v>
      </c>
      <c r="B183" s="6" t="str">
        <f>"78814193996"</f>
        <v>78814193996</v>
      </c>
      <c r="C183" s="2">
        <v>101869301</v>
      </c>
    </row>
    <row r="184" spans="1:3" x14ac:dyDescent="0.25">
      <c r="A184" s="2">
        <v>1011610</v>
      </c>
      <c r="B184" s="6" t="str">
        <f>"78814193995"</f>
        <v>78814193995</v>
      </c>
      <c r="C184" s="2">
        <v>1011610</v>
      </c>
    </row>
    <row r="185" spans="1:3" x14ac:dyDescent="0.25">
      <c r="A185" s="2">
        <v>1011571</v>
      </c>
      <c r="B185" s="6" t="str">
        <f>"78814193994"</f>
        <v>78814193994</v>
      </c>
      <c r="C185" s="2">
        <v>1011571</v>
      </c>
    </row>
    <row r="186" spans="1:3" x14ac:dyDescent="0.25">
      <c r="A186" s="2">
        <v>103710501</v>
      </c>
      <c r="B186" s="6" t="str">
        <f>"78814193990"</f>
        <v>78814193990</v>
      </c>
      <c r="C186" s="2">
        <v>103710501</v>
      </c>
    </row>
    <row r="187" spans="1:3" x14ac:dyDescent="0.25">
      <c r="A187" s="2">
        <v>102269701</v>
      </c>
      <c r="B187" s="6" t="str">
        <f>"78814193986"</f>
        <v>78814193986</v>
      </c>
      <c r="C187" s="2">
        <v>102269701</v>
      </c>
    </row>
    <row r="188" spans="1:3" x14ac:dyDescent="0.25">
      <c r="A188" s="2">
        <v>102846102</v>
      </c>
      <c r="B188" s="6" t="str">
        <f>"78814193984"</f>
        <v>78814193984</v>
      </c>
      <c r="C188" s="2">
        <v>102846102</v>
      </c>
    </row>
    <row r="189" spans="1:3" x14ac:dyDescent="0.25">
      <c r="A189" s="2">
        <v>103813301</v>
      </c>
      <c r="B189" s="6" t="str">
        <f>"78814193983"</f>
        <v>78814193983</v>
      </c>
      <c r="C189" s="2">
        <v>103813301</v>
      </c>
    </row>
    <row r="190" spans="1:3" x14ac:dyDescent="0.25">
      <c r="A190" s="8" t="s">
        <v>158</v>
      </c>
      <c r="B190" s="8" t="str">
        <f>"78814193982"</f>
        <v>78814193982</v>
      </c>
      <c r="C190" s="8" t="s">
        <v>158</v>
      </c>
    </row>
    <row r="191" spans="1:3" x14ac:dyDescent="0.25">
      <c r="A191" s="2">
        <v>103858501</v>
      </c>
      <c r="B191" s="6" t="str">
        <f>"78814193981"</f>
        <v>78814193981</v>
      </c>
      <c r="C191" s="2">
        <v>103858501</v>
      </c>
    </row>
    <row r="192" spans="1:3" x14ac:dyDescent="0.25">
      <c r="A192" s="2">
        <v>103858401</v>
      </c>
      <c r="B192" s="6" t="str">
        <f>"78814193980"</f>
        <v>78814193980</v>
      </c>
      <c r="C192" s="2">
        <v>103858401</v>
      </c>
    </row>
    <row r="193" spans="1:3" s="15" customFormat="1" x14ac:dyDescent="0.25">
      <c r="A193" s="2">
        <v>103774601</v>
      </c>
      <c r="B193" s="6" t="str">
        <f>"78814193978"</f>
        <v>78814193978</v>
      </c>
      <c r="C193" s="2">
        <v>103774601</v>
      </c>
    </row>
    <row r="194" spans="1:3" x14ac:dyDescent="0.25">
      <c r="A194" s="2">
        <v>103811702</v>
      </c>
      <c r="B194" s="6" t="str">
        <f>"78814193976"</f>
        <v>78814193976</v>
      </c>
      <c r="C194" s="2">
        <v>103811702</v>
      </c>
    </row>
    <row r="195" spans="1:3" x14ac:dyDescent="0.25">
      <c r="A195" s="2">
        <v>103853301</v>
      </c>
      <c r="B195" s="6" t="str">
        <f>"78814193975"</f>
        <v>78814193975</v>
      </c>
      <c r="C195" s="2">
        <v>103853301</v>
      </c>
    </row>
    <row r="196" spans="1:3" x14ac:dyDescent="0.25">
      <c r="A196" s="2">
        <v>102865101</v>
      </c>
      <c r="B196" s="6" t="str">
        <f>"78814193973"</f>
        <v>78814193973</v>
      </c>
      <c r="C196" s="2">
        <v>102865101</v>
      </c>
    </row>
    <row r="197" spans="1:3" x14ac:dyDescent="0.25">
      <c r="A197" s="2">
        <v>102865101</v>
      </c>
      <c r="B197" s="6" t="str">
        <f>"78814193972"</f>
        <v>78814193972</v>
      </c>
      <c r="C197" s="2">
        <v>102865101</v>
      </c>
    </row>
    <row r="198" spans="1:3" x14ac:dyDescent="0.25">
      <c r="A198" s="2">
        <v>103854501</v>
      </c>
      <c r="B198" s="6" t="str">
        <f>"78814193971"</f>
        <v>78814193971</v>
      </c>
      <c r="C198" s="2">
        <v>103854501</v>
      </c>
    </row>
    <row r="199" spans="1:3" x14ac:dyDescent="0.25">
      <c r="A199" s="8" t="s">
        <v>157</v>
      </c>
      <c r="B199" s="8" t="str">
        <f>"78814193967"</f>
        <v>78814193967</v>
      </c>
      <c r="C199" s="8" t="s">
        <v>157</v>
      </c>
    </row>
    <row r="200" spans="1:3" x14ac:dyDescent="0.25">
      <c r="A200" s="2">
        <v>101587709</v>
      </c>
      <c r="B200" s="6" t="str">
        <f>"78814193965"</f>
        <v>78814193965</v>
      </c>
      <c r="C200" s="2">
        <v>101587709</v>
      </c>
    </row>
    <row r="201" spans="1:3" x14ac:dyDescent="0.25">
      <c r="A201" s="2">
        <v>103834601</v>
      </c>
      <c r="B201" s="6" t="str">
        <f>"78814193964"</f>
        <v>78814193964</v>
      </c>
      <c r="C201" s="2">
        <v>103834601</v>
      </c>
    </row>
    <row r="202" spans="1:3" x14ac:dyDescent="0.25">
      <c r="A202" s="2">
        <v>103428101</v>
      </c>
      <c r="B202" s="6" t="str">
        <f>"78814193963"</f>
        <v>78814193963</v>
      </c>
      <c r="C202" s="2">
        <v>103428101</v>
      </c>
    </row>
    <row r="203" spans="1:3" x14ac:dyDescent="0.25">
      <c r="A203" s="2">
        <v>102865101</v>
      </c>
      <c r="B203" s="6" t="str">
        <f>"78814193960"</f>
        <v>78814193960</v>
      </c>
      <c r="C203" s="2">
        <v>102865101</v>
      </c>
    </row>
    <row r="204" spans="1:3" x14ac:dyDescent="0.25">
      <c r="A204" s="2">
        <v>103479101</v>
      </c>
      <c r="B204" s="6" t="str">
        <f>"78814193957"</f>
        <v>78814193957</v>
      </c>
      <c r="C204" s="2">
        <v>103479101</v>
      </c>
    </row>
    <row r="205" spans="1:3" x14ac:dyDescent="0.25">
      <c r="A205" s="4">
        <v>1017189</v>
      </c>
      <c r="B205" s="6" t="str">
        <f>"78814193954"</f>
        <v>78814193954</v>
      </c>
      <c r="C205" s="4">
        <v>1017189</v>
      </c>
    </row>
    <row r="206" spans="1:3" x14ac:dyDescent="0.25">
      <c r="A206" s="2">
        <v>103851201</v>
      </c>
      <c r="B206" s="6" t="str">
        <f>"78814193952"</f>
        <v>78814193952</v>
      </c>
      <c r="C206" s="2">
        <v>103851201</v>
      </c>
    </row>
    <row r="207" spans="1:3" x14ac:dyDescent="0.25">
      <c r="A207" s="8">
        <v>103825002</v>
      </c>
      <c r="B207" s="6" t="str">
        <f>"78814193950"</f>
        <v>78814193950</v>
      </c>
      <c r="C207" s="8">
        <v>103825002</v>
      </c>
    </row>
    <row r="208" spans="1:3" x14ac:dyDescent="0.25">
      <c r="A208" s="2">
        <v>103825001</v>
      </c>
      <c r="B208" s="6" t="str">
        <f>"78814193949"</f>
        <v>78814193949</v>
      </c>
      <c r="C208" s="2">
        <v>103825001</v>
      </c>
    </row>
    <row r="209" spans="1:3" x14ac:dyDescent="0.25">
      <c r="A209" s="2">
        <v>103830501</v>
      </c>
      <c r="B209" s="6" t="str">
        <f>"78814193948"</f>
        <v>78814193948</v>
      </c>
      <c r="C209" s="2">
        <v>103830501</v>
      </c>
    </row>
    <row r="210" spans="1:3" x14ac:dyDescent="0.25">
      <c r="A210" s="2">
        <v>103830401</v>
      </c>
      <c r="B210" s="6" t="str">
        <f>"78814193947"</f>
        <v>78814193947</v>
      </c>
      <c r="C210" s="2">
        <v>103830401</v>
      </c>
    </row>
    <row r="211" spans="1:3" x14ac:dyDescent="0.25">
      <c r="A211" s="2">
        <v>103830301</v>
      </c>
      <c r="B211" s="6" t="str">
        <f>"78814193946"</f>
        <v>78814193946</v>
      </c>
      <c r="C211" s="2">
        <v>103830301</v>
      </c>
    </row>
    <row r="212" spans="1:3" x14ac:dyDescent="0.25">
      <c r="A212" s="2">
        <v>103701301</v>
      </c>
      <c r="B212" s="6" t="str">
        <f>"78814193945"</f>
        <v>78814193945</v>
      </c>
      <c r="C212" s="2">
        <v>103701301</v>
      </c>
    </row>
    <row r="213" spans="1:3" x14ac:dyDescent="0.25">
      <c r="A213" s="6">
        <v>103811601</v>
      </c>
      <c r="B213" s="6" t="str">
        <f>"78814193943"</f>
        <v>78814193943</v>
      </c>
      <c r="C213" s="6">
        <v>103811601</v>
      </c>
    </row>
    <row r="214" spans="1:3" x14ac:dyDescent="0.25">
      <c r="A214" s="2">
        <v>103830601</v>
      </c>
      <c r="B214" s="6" t="str">
        <f>"78814193942"</f>
        <v>78814193942</v>
      </c>
      <c r="C214" s="2">
        <v>103830601</v>
      </c>
    </row>
    <row r="215" spans="1:3" x14ac:dyDescent="0.25">
      <c r="A215" s="2">
        <v>103818001</v>
      </c>
      <c r="B215" s="6" t="str">
        <f>"78814193941"</f>
        <v>78814193941</v>
      </c>
      <c r="C215" s="2">
        <v>103818001</v>
      </c>
    </row>
    <row r="216" spans="1:3" x14ac:dyDescent="0.25">
      <c r="A216" s="2">
        <v>103813601</v>
      </c>
      <c r="B216" s="6" t="str">
        <f>"78814193940"</f>
        <v>78814193940</v>
      </c>
      <c r="C216" s="2">
        <v>103813601</v>
      </c>
    </row>
    <row r="217" spans="1:3" x14ac:dyDescent="0.25">
      <c r="A217" s="6">
        <v>103809901</v>
      </c>
      <c r="B217" s="6" t="str">
        <f>"78814193939"</f>
        <v>78814193939</v>
      </c>
      <c r="C217" s="6">
        <v>103809901</v>
      </c>
    </row>
    <row r="218" spans="1:3" x14ac:dyDescent="0.25">
      <c r="A218" s="6">
        <v>103803101</v>
      </c>
      <c r="B218" s="6" t="str">
        <f>"78814193938"</f>
        <v>78814193938</v>
      </c>
      <c r="C218" s="6">
        <v>103803101</v>
      </c>
    </row>
    <row r="219" spans="1:3" x14ac:dyDescent="0.25">
      <c r="A219" s="2">
        <v>103813501</v>
      </c>
      <c r="B219" s="6" t="str">
        <f>"78814193937"</f>
        <v>78814193937</v>
      </c>
      <c r="C219" s="2">
        <v>103813501</v>
      </c>
    </row>
    <row r="220" spans="1:3" x14ac:dyDescent="0.25">
      <c r="A220" s="8" t="s">
        <v>159</v>
      </c>
      <c r="B220" s="8" t="str">
        <f>"78814193936"</f>
        <v>78814193936</v>
      </c>
      <c r="C220" s="8" t="s">
        <v>159</v>
      </c>
    </row>
    <row r="221" spans="1:3" x14ac:dyDescent="0.25">
      <c r="A221" s="2">
        <v>103501401</v>
      </c>
      <c r="B221" s="6" t="str">
        <f>"78814193935"</f>
        <v>78814193935</v>
      </c>
      <c r="C221" s="2">
        <v>103501401</v>
      </c>
    </row>
    <row r="222" spans="1:3" x14ac:dyDescent="0.25">
      <c r="A222" s="2" t="s">
        <v>107</v>
      </c>
      <c r="B222" s="6" t="str">
        <f>"78814193934"</f>
        <v>78814193934</v>
      </c>
      <c r="C222" s="2" t="s">
        <v>107</v>
      </c>
    </row>
    <row r="223" spans="1:3" x14ac:dyDescent="0.25">
      <c r="A223" s="2">
        <v>103764501</v>
      </c>
      <c r="B223" s="6" t="str">
        <f>"78814193933"</f>
        <v>78814193933</v>
      </c>
      <c r="C223" s="2">
        <v>103764501</v>
      </c>
    </row>
    <row r="224" spans="1:3" x14ac:dyDescent="0.25">
      <c r="A224" s="2">
        <v>103777701</v>
      </c>
      <c r="B224" s="6" t="str">
        <f>"78814193932"</f>
        <v>78814193932</v>
      </c>
      <c r="C224" s="2">
        <v>103777701</v>
      </c>
    </row>
    <row r="225" spans="1:3" x14ac:dyDescent="0.25">
      <c r="A225" s="6">
        <v>102477001</v>
      </c>
      <c r="B225" s="6" t="str">
        <f>"78814193931"</f>
        <v>78814193931</v>
      </c>
      <c r="C225" s="6">
        <v>102477001</v>
      </c>
    </row>
    <row r="226" spans="1:3" x14ac:dyDescent="0.25">
      <c r="A226" s="2">
        <v>101837101</v>
      </c>
      <c r="B226" s="6" t="str">
        <f>"78814193927"</f>
        <v>78814193927</v>
      </c>
      <c r="C226" s="2">
        <v>101837101</v>
      </c>
    </row>
    <row r="227" spans="1:3" x14ac:dyDescent="0.25">
      <c r="A227" s="2">
        <v>103372603</v>
      </c>
      <c r="B227" s="6" t="str">
        <f>"78814193922"</f>
        <v>78814193922</v>
      </c>
      <c r="C227" s="2">
        <v>103372603</v>
      </c>
    </row>
    <row r="228" spans="1:3" x14ac:dyDescent="0.25">
      <c r="A228" s="6">
        <v>103587301</v>
      </c>
      <c r="B228" s="6" t="str">
        <f>"78814193920"</f>
        <v>78814193920</v>
      </c>
      <c r="C228" s="6">
        <v>103587301</v>
      </c>
    </row>
    <row r="229" spans="1:3" x14ac:dyDescent="0.25">
      <c r="A229" s="8" t="s">
        <v>142</v>
      </c>
      <c r="B229" s="6" t="str">
        <f>"78814193919"</f>
        <v>78814193919</v>
      </c>
      <c r="C229" s="8" t="s">
        <v>142</v>
      </c>
    </row>
    <row r="230" spans="1:3" x14ac:dyDescent="0.25">
      <c r="A230" s="2">
        <v>102775801</v>
      </c>
      <c r="B230" s="6" t="str">
        <f>"78814193917"</f>
        <v>78814193917</v>
      </c>
      <c r="C230" s="2">
        <v>102775801</v>
      </c>
    </row>
    <row r="231" spans="1:3" x14ac:dyDescent="0.25">
      <c r="A231" s="2">
        <v>102437001</v>
      </c>
      <c r="B231" s="6" t="str">
        <f>"78814193914"</f>
        <v>78814193914</v>
      </c>
      <c r="C231" s="2">
        <v>102437001</v>
      </c>
    </row>
    <row r="232" spans="1:3" x14ac:dyDescent="0.25">
      <c r="A232" s="2">
        <v>1012988</v>
      </c>
      <c r="B232" s="6" t="str">
        <f>"78814193913"</f>
        <v>78814193913</v>
      </c>
      <c r="C232" s="2">
        <v>1012988</v>
      </c>
    </row>
    <row r="233" spans="1:3" x14ac:dyDescent="0.25">
      <c r="A233" s="2">
        <v>103590501</v>
      </c>
      <c r="B233" s="6" t="str">
        <f>"78814193909"</f>
        <v>78814193909</v>
      </c>
      <c r="C233" s="2">
        <v>103590501</v>
      </c>
    </row>
    <row r="234" spans="1:3" x14ac:dyDescent="0.25">
      <c r="A234" s="2">
        <v>103588201</v>
      </c>
      <c r="B234" s="6" t="str">
        <f>"78814193908"</f>
        <v>78814193908</v>
      </c>
      <c r="C234" s="2">
        <v>103588201</v>
      </c>
    </row>
    <row r="235" spans="1:3" x14ac:dyDescent="0.25">
      <c r="A235" s="2">
        <v>103534801</v>
      </c>
      <c r="B235" s="6" t="str">
        <f>"78814193907"</f>
        <v>78814193907</v>
      </c>
      <c r="C235" s="2">
        <v>103534801</v>
      </c>
    </row>
    <row r="236" spans="1:3" x14ac:dyDescent="0.25">
      <c r="A236" s="2">
        <v>103685901</v>
      </c>
      <c r="B236" s="6" t="str">
        <f>"78814193906"</f>
        <v>78814193906</v>
      </c>
      <c r="C236" s="2">
        <v>103685901</v>
      </c>
    </row>
    <row r="237" spans="1:3" x14ac:dyDescent="0.25">
      <c r="A237" s="2">
        <v>103534701</v>
      </c>
      <c r="B237" s="6" t="str">
        <f>"78814193905"</f>
        <v>78814193905</v>
      </c>
      <c r="C237" s="2">
        <v>103534701</v>
      </c>
    </row>
    <row r="238" spans="1:3" x14ac:dyDescent="0.25">
      <c r="A238" s="2">
        <v>103443101</v>
      </c>
      <c r="B238" s="6" t="str">
        <f>"78814193901"</f>
        <v>78814193901</v>
      </c>
      <c r="C238" s="2">
        <v>103443101</v>
      </c>
    </row>
    <row r="239" spans="1:3" x14ac:dyDescent="0.25">
      <c r="A239" s="2">
        <v>103626701</v>
      </c>
      <c r="B239" s="6" t="str">
        <f>"78814193900"</f>
        <v>78814193900</v>
      </c>
      <c r="C239" s="2">
        <v>103626701</v>
      </c>
    </row>
    <row r="240" spans="1:3" x14ac:dyDescent="0.25">
      <c r="A240" s="2">
        <v>103626601</v>
      </c>
      <c r="B240" s="6" t="str">
        <f>"78814193899"</f>
        <v>78814193899</v>
      </c>
      <c r="C240" s="2">
        <v>103626601</v>
      </c>
    </row>
    <row r="241" spans="1:3" x14ac:dyDescent="0.25">
      <c r="A241" s="2">
        <v>103320601</v>
      </c>
      <c r="B241" s="6" t="str">
        <f>"78814193898"</f>
        <v>78814193898</v>
      </c>
      <c r="C241" s="2">
        <v>103320601</v>
      </c>
    </row>
    <row r="242" spans="1:3" x14ac:dyDescent="0.25">
      <c r="A242" s="2">
        <v>103581001</v>
      </c>
      <c r="B242" s="6" t="str">
        <f>"78814193893"</f>
        <v>78814193893</v>
      </c>
      <c r="C242" s="2">
        <v>103581001</v>
      </c>
    </row>
    <row r="243" spans="1:3" x14ac:dyDescent="0.25">
      <c r="A243" s="2">
        <v>103580901</v>
      </c>
      <c r="B243" s="6" t="str">
        <f>"78814193884"</f>
        <v>78814193884</v>
      </c>
      <c r="C243" s="2">
        <v>103580901</v>
      </c>
    </row>
    <row r="244" spans="1:3" x14ac:dyDescent="0.25">
      <c r="A244" s="2">
        <v>103577101</v>
      </c>
      <c r="B244" s="6" t="str">
        <f>"78814193883"</f>
        <v>78814193883</v>
      </c>
      <c r="C244" s="2">
        <v>103577101</v>
      </c>
    </row>
    <row r="245" spans="1:3" x14ac:dyDescent="0.25">
      <c r="A245" s="2">
        <v>103576201</v>
      </c>
      <c r="B245" s="6" t="str">
        <f>"78814193881"</f>
        <v>78814193881</v>
      </c>
      <c r="C245" s="2">
        <v>103576201</v>
      </c>
    </row>
    <row r="246" spans="1:3" x14ac:dyDescent="0.25">
      <c r="A246" s="2">
        <v>103148501</v>
      </c>
      <c r="B246" s="6" t="str">
        <f>"78814193878"</f>
        <v>78814193878</v>
      </c>
      <c r="C246" s="2">
        <v>103148501</v>
      </c>
    </row>
    <row r="247" spans="1:3" x14ac:dyDescent="0.25">
      <c r="A247" s="2">
        <v>103601001</v>
      </c>
      <c r="B247" s="6" t="str">
        <f>"78814193877"</f>
        <v>78814193877</v>
      </c>
      <c r="C247" s="2">
        <v>103601001</v>
      </c>
    </row>
    <row r="248" spans="1:3" x14ac:dyDescent="0.25">
      <c r="A248" s="2">
        <v>103593201</v>
      </c>
      <c r="B248" s="6" t="str">
        <f>"78814193876"</f>
        <v>78814193876</v>
      </c>
      <c r="C248" s="2">
        <v>103593201</v>
      </c>
    </row>
    <row r="249" spans="1:3" x14ac:dyDescent="0.25">
      <c r="A249" s="2">
        <v>103593301</v>
      </c>
      <c r="B249" s="6" t="str">
        <f>"78814193875"</f>
        <v>78814193875</v>
      </c>
      <c r="C249" s="2">
        <v>103593301</v>
      </c>
    </row>
    <row r="250" spans="1:3" x14ac:dyDescent="0.25">
      <c r="A250" s="2">
        <v>101770205</v>
      </c>
      <c r="B250" s="6" t="str">
        <f>"78814193873"</f>
        <v>78814193873</v>
      </c>
      <c r="C250" s="2">
        <v>101770205</v>
      </c>
    </row>
    <row r="251" spans="1:3" x14ac:dyDescent="0.25">
      <c r="A251" s="6">
        <v>103584601</v>
      </c>
      <c r="B251" s="6" t="str">
        <f>"78814193872"</f>
        <v>78814193872</v>
      </c>
      <c r="C251" s="6">
        <v>103584601</v>
      </c>
    </row>
    <row r="252" spans="1:3" x14ac:dyDescent="0.25">
      <c r="A252" s="2">
        <v>1606</v>
      </c>
      <c r="B252" s="6" t="str">
        <f>"78814193870"</f>
        <v>78814193870</v>
      </c>
      <c r="C252" s="2">
        <v>1606</v>
      </c>
    </row>
    <row r="253" spans="1:3" x14ac:dyDescent="0.25">
      <c r="A253" s="2">
        <v>103580201</v>
      </c>
      <c r="B253" s="6" t="str">
        <f>"78814193867"</f>
        <v>78814193867</v>
      </c>
      <c r="C253" s="2">
        <v>103580201</v>
      </c>
    </row>
    <row r="254" spans="1:3" x14ac:dyDescent="0.25">
      <c r="A254" s="2">
        <v>103574001</v>
      </c>
      <c r="B254" s="6" t="str">
        <f>"78814193866"</f>
        <v>78814193866</v>
      </c>
      <c r="C254" s="2">
        <v>103574001</v>
      </c>
    </row>
    <row r="255" spans="1:3" x14ac:dyDescent="0.25">
      <c r="A255" s="2">
        <v>103573801</v>
      </c>
      <c r="B255" s="6" t="str">
        <f>"78814193864"</f>
        <v>78814193864</v>
      </c>
      <c r="C255" s="2">
        <v>103573801</v>
      </c>
    </row>
    <row r="256" spans="1:3" x14ac:dyDescent="0.25">
      <c r="A256" s="2">
        <v>103540202</v>
      </c>
      <c r="B256" s="6" t="str">
        <f>"78814193861"</f>
        <v>78814193861</v>
      </c>
      <c r="C256" s="2">
        <v>103540202</v>
      </c>
    </row>
    <row r="257" spans="1:3" x14ac:dyDescent="0.25">
      <c r="A257" s="2">
        <v>103540201</v>
      </c>
      <c r="B257" s="6" t="str">
        <f>"78814193860"</f>
        <v>78814193860</v>
      </c>
      <c r="C257" s="2">
        <v>103540201</v>
      </c>
    </row>
    <row r="258" spans="1:3" x14ac:dyDescent="0.25">
      <c r="A258" s="5">
        <v>102481302</v>
      </c>
      <c r="B258" s="6" t="str">
        <f>"78814193859"</f>
        <v>78814193859</v>
      </c>
      <c r="C258" s="5">
        <v>102481302</v>
      </c>
    </row>
    <row r="259" spans="1:3" x14ac:dyDescent="0.25">
      <c r="A259" s="2">
        <v>103896604</v>
      </c>
      <c r="B259" s="6" t="str">
        <f>"78814193855"</f>
        <v>78814193855</v>
      </c>
      <c r="C259" s="2">
        <v>103896604</v>
      </c>
    </row>
    <row r="260" spans="1:3" x14ac:dyDescent="0.25">
      <c r="A260" s="2">
        <v>102865101</v>
      </c>
      <c r="B260" s="6" t="str">
        <f>"78814193854"</f>
        <v>78814193854</v>
      </c>
      <c r="C260" s="2">
        <v>102865101</v>
      </c>
    </row>
    <row r="261" spans="1:3" x14ac:dyDescent="0.25">
      <c r="A261" s="2">
        <v>103522401</v>
      </c>
      <c r="B261" s="6" t="str">
        <f>"78814193847"</f>
        <v>78814193847</v>
      </c>
      <c r="C261" s="2">
        <v>103522401</v>
      </c>
    </row>
    <row r="262" spans="1:3" x14ac:dyDescent="0.25">
      <c r="A262" s="2">
        <v>103511601</v>
      </c>
      <c r="B262" s="6" t="str">
        <f>"78814193844"</f>
        <v>78814193844</v>
      </c>
      <c r="C262" s="2">
        <v>103511601</v>
      </c>
    </row>
    <row r="263" spans="1:3" x14ac:dyDescent="0.25">
      <c r="A263" s="2">
        <v>103498801</v>
      </c>
      <c r="B263" s="6" t="str">
        <f>"78814193843"</f>
        <v>78814193843</v>
      </c>
      <c r="C263" s="2">
        <v>103498801</v>
      </c>
    </row>
    <row r="264" spans="1:3" x14ac:dyDescent="0.25">
      <c r="A264" s="4">
        <v>103402201</v>
      </c>
      <c r="B264" s="6" t="str">
        <f>"78814193842"</f>
        <v>78814193842</v>
      </c>
      <c r="C264" s="4">
        <v>103402201</v>
      </c>
    </row>
    <row r="265" spans="1:3" x14ac:dyDescent="0.25">
      <c r="A265" s="2">
        <v>103509501</v>
      </c>
      <c r="B265" s="6" t="str">
        <f>"78814193836"</f>
        <v>78814193836</v>
      </c>
      <c r="C265" s="2">
        <v>103509501</v>
      </c>
    </row>
    <row r="266" spans="1:3" x14ac:dyDescent="0.25">
      <c r="A266" s="2">
        <v>103420201</v>
      </c>
      <c r="B266" s="6" t="str">
        <f>"78814193835"</f>
        <v>78814193835</v>
      </c>
      <c r="C266" s="2">
        <v>103420201</v>
      </c>
    </row>
    <row r="267" spans="1:3" x14ac:dyDescent="0.25">
      <c r="A267" s="2">
        <v>1017082</v>
      </c>
      <c r="B267" s="6" t="str">
        <f>"78814193834"</f>
        <v>78814193834</v>
      </c>
      <c r="C267" s="2">
        <v>1017082</v>
      </c>
    </row>
    <row r="268" spans="1:3" x14ac:dyDescent="0.25">
      <c r="A268" s="2">
        <v>7893</v>
      </c>
      <c r="B268" s="6" t="str">
        <f>"78814193833"</f>
        <v>78814193833</v>
      </c>
      <c r="C268" s="2">
        <v>7893</v>
      </c>
    </row>
    <row r="269" spans="1:3" x14ac:dyDescent="0.25">
      <c r="A269" s="2">
        <v>183</v>
      </c>
      <c r="B269" s="6" t="str">
        <f>"78814193832"</f>
        <v>78814193832</v>
      </c>
      <c r="C269" s="2">
        <v>183</v>
      </c>
    </row>
    <row r="270" spans="1:3" x14ac:dyDescent="0.25">
      <c r="A270" s="2">
        <v>102033701</v>
      </c>
      <c r="B270" s="6" t="str">
        <f>"78814193831"</f>
        <v>78814193831</v>
      </c>
      <c r="C270" s="2">
        <v>102033701</v>
      </c>
    </row>
    <row r="271" spans="1:3" x14ac:dyDescent="0.25">
      <c r="A271" s="2">
        <v>103449601</v>
      </c>
      <c r="B271" s="6" t="str">
        <f>"78814193830"</f>
        <v>78814193830</v>
      </c>
      <c r="C271" s="2">
        <v>103449601</v>
      </c>
    </row>
    <row r="272" spans="1:3" x14ac:dyDescent="0.25">
      <c r="A272" s="2" t="s">
        <v>108</v>
      </c>
      <c r="B272" s="6" t="str">
        <f>"78814193828"</f>
        <v>78814193828</v>
      </c>
      <c r="C272" s="2" t="s">
        <v>108</v>
      </c>
    </row>
    <row r="273" spans="1:3" x14ac:dyDescent="0.25">
      <c r="A273" s="2">
        <v>103501101</v>
      </c>
      <c r="B273" s="6" t="str">
        <f>"78814193827"</f>
        <v>78814193827</v>
      </c>
      <c r="C273" s="2">
        <v>103501101</v>
      </c>
    </row>
    <row r="274" spans="1:3" x14ac:dyDescent="0.25">
      <c r="A274" s="2">
        <v>1011558</v>
      </c>
      <c r="B274" s="6" t="str">
        <f>"78814193826"</f>
        <v>78814193826</v>
      </c>
      <c r="C274" s="2">
        <v>1011558</v>
      </c>
    </row>
    <row r="275" spans="1:3" x14ac:dyDescent="0.25">
      <c r="A275" s="2">
        <v>102318201</v>
      </c>
      <c r="B275" s="6" t="str">
        <f>"78814193821"</f>
        <v>78814193821</v>
      </c>
      <c r="C275" s="2">
        <v>102318201</v>
      </c>
    </row>
    <row r="276" spans="1:3" x14ac:dyDescent="0.25">
      <c r="A276" s="2">
        <v>103484201</v>
      </c>
      <c r="B276" s="6" t="str">
        <f>"78814193820"</f>
        <v>78814193820</v>
      </c>
      <c r="C276" s="2">
        <v>103484201</v>
      </c>
    </row>
    <row r="277" spans="1:3" x14ac:dyDescent="0.25">
      <c r="A277" s="8">
        <v>103420301</v>
      </c>
      <c r="B277" s="6" t="str">
        <f>"78814193818"</f>
        <v>78814193818</v>
      </c>
      <c r="C277" s="8">
        <v>103420301</v>
      </c>
    </row>
    <row r="278" spans="1:3" x14ac:dyDescent="0.25">
      <c r="A278" s="2">
        <v>103481901</v>
      </c>
      <c r="B278" s="6" t="str">
        <f>"78814193817"</f>
        <v>78814193817</v>
      </c>
      <c r="C278" s="2">
        <v>103481901</v>
      </c>
    </row>
    <row r="279" spans="1:3" x14ac:dyDescent="0.25">
      <c r="A279" s="2">
        <v>103595601</v>
      </c>
      <c r="B279" s="6" t="str">
        <f>"78814193816"</f>
        <v>78814193816</v>
      </c>
      <c r="C279" s="2">
        <v>103595601</v>
      </c>
    </row>
    <row r="280" spans="1:3" x14ac:dyDescent="0.25">
      <c r="A280" s="2">
        <v>103114801</v>
      </c>
      <c r="B280" s="6" t="str">
        <f>"78814193814"</f>
        <v>78814193814</v>
      </c>
      <c r="C280" s="2">
        <v>103114801</v>
      </c>
    </row>
    <row r="281" spans="1:3" x14ac:dyDescent="0.25">
      <c r="A281" s="2">
        <v>103145801</v>
      </c>
      <c r="B281" s="6" t="str">
        <f>"78814193813"</f>
        <v>78814193813</v>
      </c>
      <c r="C281" s="2">
        <v>103145801</v>
      </c>
    </row>
    <row r="282" spans="1:3" x14ac:dyDescent="0.25">
      <c r="A282" s="2">
        <v>103145701</v>
      </c>
      <c r="B282" s="6" t="str">
        <f>"78814193811"</f>
        <v>78814193811</v>
      </c>
      <c r="C282" s="2">
        <v>103145701</v>
      </c>
    </row>
    <row r="283" spans="1:3" x14ac:dyDescent="0.25">
      <c r="A283" s="2">
        <v>101806005</v>
      </c>
      <c r="B283" s="6" t="str">
        <f>"78814193810"</f>
        <v>78814193810</v>
      </c>
      <c r="C283" s="2">
        <v>101806005</v>
      </c>
    </row>
    <row r="284" spans="1:3" x14ac:dyDescent="0.25">
      <c r="A284" s="2">
        <v>102222001</v>
      </c>
      <c r="B284" s="6" t="str">
        <f>"78814193809"</f>
        <v>78814193809</v>
      </c>
      <c r="C284" s="2">
        <v>102222001</v>
      </c>
    </row>
    <row r="285" spans="1:3" x14ac:dyDescent="0.25">
      <c r="A285" s="2">
        <v>102865101</v>
      </c>
      <c r="B285" s="6" t="str">
        <f>"78814193808"</f>
        <v>78814193808</v>
      </c>
      <c r="C285" s="2">
        <v>102865101</v>
      </c>
    </row>
    <row r="286" spans="1:3" x14ac:dyDescent="0.25">
      <c r="A286" s="2">
        <v>103439701</v>
      </c>
      <c r="B286" s="6" t="str">
        <f>"78814193807"</f>
        <v>78814193807</v>
      </c>
      <c r="C286" s="2">
        <v>103439701</v>
      </c>
    </row>
    <row r="287" spans="1:3" x14ac:dyDescent="0.25">
      <c r="A287" s="2">
        <v>102865101</v>
      </c>
      <c r="B287" s="6" t="str">
        <f>"78814193806"</f>
        <v>78814193806</v>
      </c>
      <c r="C287" s="2">
        <v>102865101</v>
      </c>
    </row>
    <row r="288" spans="1:3" x14ac:dyDescent="0.25">
      <c r="A288" s="2">
        <v>103372602</v>
      </c>
      <c r="B288" s="6" t="str">
        <f>"78814193802"</f>
        <v>78814193802</v>
      </c>
      <c r="C288" s="2">
        <v>103372602</v>
      </c>
    </row>
    <row r="289" spans="1:3" x14ac:dyDescent="0.25">
      <c r="A289" s="2">
        <v>103372601</v>
      </c>
      <c r="B289" s="6" t="str">
        <f>"78814193801"</f>
        <v>78814193801</v>
      </c>
      <c r="C289" s="2">
        <v>103372601</v>
      </c>
    </row>
    <row r="290" spans="1:3" x14ac:dyDescent="0.25">
      <c r="A290" s="2">
        <v>103372401</v>
      </c>
      <c r="B290" s="6" t="str">
        <f>"78814193798"</f>
        <v>78814193798</v>
      </c>
      <c r="C290" s="2">
        <v>103372401</v>
      </c>
    </row>
    <row r="291" spans="1:3" x14ac:dyDescent="0.25">
      <c r="A291" s="2">
        <v>1012285</v>
      </c>
      <c r="B291" s="6" t="str">
        <f>"78814193795"</f>
        <v>78814193795</v>
      </c>
      <c r="C291" s="2">
        <v>1012285</v>
      </c>
    </row>
    <row r="292" spans="1:3" x14ac:dyDescent="0.25">
      <c r="A292" s="2">
        <v>103411601</v>
      </c>
      <c r="B292" s="6" t="str">
        <f>"78814193794"</f>
        <v>78814193794</v>
      </c>
      <c r="C292" s="2">
        <v>103411601</v>
      </c>
    </row>
    <row r="293" spans="1:3" x14ac:dyDescent="0.25">
      <c r="A293" s="2" t="s">
        <v>109</v>
      </c>
      <c r="B293" s="6" t="str">
        <f>"78814193793"</f>
        <v>78814193793</v>
      </c>
      <c r="C293" s="2" t="s">
        <v>109</v>
      </c>
    </row>
    <row r="294" spans="1:3" x14ac:dyDescent="0.25">
      <c r="A294" s="2">
        <v>103395601</v>
      </c>
      <c r="B294" s="6" t="str">
        <f>"78814193792"</f>
        <v>78814193792</v>
      </c>
      <c r="C294" s="2">
        <v>103395601</v>
      </c>
    </row>
    <row r="295" spans="1:3" x14ac:dyDescent="0.25">
      <c r="A295" s="2">
        <v>103182701</v>
      </c>
      <c r="B295" s="6" t="str">
        <f>"78814193788"</f>
        <v>78814193788</v>
      </c>
      <c r="C295" s="2">
        <v>103182701</v>
      </c>
    </row>
    <row r="296" spans="1:3" x14ac:dyDescent="0.25">
      <c r="A296" s="2">
        <v>102376001</v>
      </c>
      <c r="B296" s="6" t="str">
        <f>"78814193775"</f>
        <v>78814193775</v>
      </c>
      <c r="C296" s="2">
        <v>102376001</v>
      </c>
    </row>
    <row r="297" spans="1:3" x14ac:dyDescent="0.25">
      <c r="A297" s="2">
        <v>103307901</v>
      </c>
      <c r="B297" s="6" t="str">
        <f>"78814193772"</f>
        <v>78814193772</v>
      </c>
      <c r="C297" s="2">
        <v>103307901</v>
      </c>
    </row>
    <row r="298" spans="1:3" x14ac:dyDescent="0.25">
      <c r="A298" s="2">
        <v>103293201</v>
      </c>
      <c r="B298" s="6" t="str">
        <f>"78814193771"</f>
        <v>78814193771</v>
      </c>
      <c r="C298" s="2">
        <v>103293201</v>
      </c>
    </row>
    <row r="299" spans="1:3" x14ac:dyDescent="0.25">
      <c r="A299" s="2">
        <v>103340401</v>
      </c>
      <c r="B299" s="6" t="str">
        <f>"78814193767"</f>
        <v>78814193767</v>
      </c>
      <c r="C299" s="2">
        <v>103340401</v>
      </c>
    </row>
    <row r="300" spans="1:3" x14ac:dyDescent="0.25">
      <c r="A300" s="2">
        <v>103315101</v>
      </c>
      <c r="B300" s="6" t="str">
        <f>"78814193766"</f>
        <v>78814193766</v>
      </c>
      <c r="C300" s="2">
        <v>103315101</v>
      </c>
    </row>
    <row r="301" spans="1:3" x14ac:dyDescent="0.25">
      <c r="A301" s="2">
        <v>103177301</v>
      </c>
      <c r="B301" s="6" t="str">
        <f>"78814193764"</f>
        <v>78814193764</v>
      </c>
      <c r="C301" s="2">
        <v>103177301</v>
      </c>
    </row>
    <row r="302" spans="1:3" x14ac:dyDescent="0.25">
      <c r="A302" s="2">
        <v>102895001</v>
      </c>
      <c r="B302" s="6" t="str">
        <f>"78814193763"</f>
        <v>78814193763</v>
      </c>
      <c r="C302" s="2">
        <v>102895001</v>
      </c>
    </row>
    <row r="303" spans="1:3" x14ac:dyDescent="0.25">
      <c r="A303" s="2">
        <v>103177101</v>
      </c>
      <c r="B303" s="6" t="str">
        <f>"78814193762"</f>
        <v>78814193762</v>
      </c>
      <c r="C303" s="2">
        <v>103177101</v>
      </c>
    </row>
    <row r="304" spans="1:3" x14ac:dyDescent="0.25">
      <c r="A304" s="2">
        <v>103290801</v>
      </c>
      <c r="B304" s="6" t="str">
        <f>"78814193761"</f>
        <v>78814193761</v>
      </c>
      <c r="C304" s="2">
        <v>103290801</v>
      </c>
    </row>
    <row r="305" spans="1:3" x14ac:dyDescent="0.25">
      <c r="A305" s="2">
        <v>103203401</v>
      </c>
      <c r="B305" s="6" t="str">
        <f>"78814193729"</f>
        <v>78814193729</v>
      </c>
      <c r="C305" s="2">
        <v>103203401</v>
      </c>
    </row>
    <row r="306" spans="1:3" x14ac:dyDescent="0.25">
      <c r="A306" s="2">
        <v>103226901</v>
      </c>
      <c r="B306" s="6" t="str">
        <f>"78814193728"</f>
        <v>78814193728</v>
      </c>
      <c r="C306" s="2">
        <v>103226901</v>
      </c>
    </row>
    <row r="307" spans="1:3" x14ac:dyDescent="0.25">
      <c r="A307" s="2">
        <v>103254001</v>
      </c>
      <c r="B307" s="6" t="str">
        <f>"78814193727"</f>
        <v>78814193727</v>
      </c>
      <c r="C307" s="2">
        <v>103254001</v>
      </c>
    </row>
    <row r="308" spans="1:3" x14ac:dyDescent="0.25">
      <c r="A308" s="2">
        <v>103178901</v>
      </c>
      <c r="B308" s="6" t="str">
        <f>"78814193726"</f>
        <v>78814193726</v>
      </c>
      <c r="C308" s="2">
        <v>103178901</v>
      </c>
    </row>
    <row r="309" spans="1:3" x14ac:dyDescent="0.25">
      <c r="A309" s="2">
        <v>103256501</v>
      </c>
      <c r="B309" s="6" t="str">
        <f>"78814193720"</f>
        <v>78814193720</v>
      </c>
      <c r="C309" s="2">
        <v>103256501</v>
      </c>
    </row>
    <row r="310" spans="1:3" x14ac:dyDescent="0.25">
      <c r="A310" s="2">
        <v>102978001</v>
      </c>
      <c r="B310" s="6" t="str">
        <f>"78814193718"</f>
        <v>78814193718</v>
      </c>
      <c r="C310" s="2">
        <v>102978001</v>
      </c>
    </row>
    <row r="311" spans="1:3" x14ac:dyDescent="0.25">
      <c r="A311" s="2">
        <v>103252301</v>
      </c>
      <c r="B311" s="6" t="str">
        <f>"78814193707"</f>
        <v>78814193707</v>
      </c>
      <c r="C311" s="2">
        <v>103252301</v>
      </c>
    </row>
    <row r="312" spans="1:3" x14ac:dyDescent="0.25">
      <c r="A312" s="8">
        <v>102973501</v>
      </c>
      <c r="B312" s="6" t="str">
        <f>"78814193701"</f>
        <v>78814193701</v>
      </c>
      <c r="C312" s="8">
        <v>102973501</v>
      </c>
    </row>
    <row r="313" spans="1:3" x14ac:dyDescent="0.25">
      <c r="A313" s="6">
        <v>102973601</v>
      </c>
      <c r="B313" s="6" t="str">
        <f>"78814193700"</f>
        <v>78814193700</v>
      </c>
      <c r="C313" s="6">
        <v>102973601</v>
      </c>
    </row>
    <row r="314" spans="1:3" x14ac:dyDescent="0.25">
      <c r="A314" s="6">
        <v>102794801</v>
      </c>
      <c r="B314" s="6" t="str">
        <f>"78814193698"</f>
        <v>78814193698</v>
      </c>
      <c r="C314" s="6">
        <v>102794801</v>
      </c>
    </row>
    <row r="315" spans="1:3" x14ac:dyDescent="0.25">
      <c r="A315" s="2">
        <v>103192701</v>
      </c>
      <c r="B315" s="6" t="str">
        <f>"78814193695"</f>
        <v>78814193695</v>
      </c>
      <c r="C315" s="2">
        <v>103192701</v>
      </c>
    </row>
    <row r="316" spans="1:3" x14ac:dyDescent="0.25">
      <c r="A316" s="6">
        <v>102785501</v>
      </c>
      <c r="B316" s="6" t="str">
        <f>"78814193694"</f>
        <v>78814193694</v>
      </c>
      <c r="C316" s="6">
        <v>102785501</v>
      </c>
    </row>
    <row r="317" spans="1:3" x14ac:dyDescent="0.25">
      <c r="A317" s="2">
        <v>103203001</v>
      </c>
      <c r="B317" s="6" t="str">
        <f>"78814193693"</f>
        <v>78814193693</v>
      </c>
      <c r="C317" s="2">
        <v>103203001</v>
      </c>
    </row>
    <row r="318" spans="1:3" x14ac:dyDescent="0.25">
      <c r="A318" s="2">
        <v>102977901</v>
      </c>
      <c r="B318" s="6" t="str">
        <f>"78814193692"</f>
        <v>78814193692</v>
      </c>
      <c r="C318" s="2">
        <v>102977901</v>
      </c>
    </row>
    <row r="319" spans="1:3" x14ac:dyDescent="0.25">
      <c r="A319" s="6">
        <v>102590901</v>
      </c>
      <c r="B319" s="6" t="str">
        <f>"78814193689"</f>
        <v>78814193689</v>
      </c>
      <c r="C319" s="6">
        <v>102590901</v>
      </c>
    </row>
    <row r="320" spans="1:3" x14ac:dyDescent="0.25">
      <c r="A320" s="2" t="s">
        <v>110</v>
      </c>
      <c r="B320" s="6" t="str">
        <f>"78814193676"</f>
        <v>78814193676</v>
      </c>
      <c r="C320" s="2" t="s">
        <v>110</v>
      </c>
    </row>
    <row r="321" spans="1:3" x14ac:dyDescent="0.25">
      <c r="A321" s="2" t="s">
        <v>111</v>
      </c>
      <c r="B321" s="6" t="str">
        <f>"78814193674"</f>
        <v>78814193674</v>
      </c>
      <c r="C321" s="2" t="s">
        <v>111</v>
      </c>
    </row>
    <row r="322" spans="1:3" x14ac:dyDescent="0.25">
      <c r="A322" s="2">
        <v>102541455</v>
      </c>
      <c r="B322" s="6" t="str">
        <f>"78814193670"</f>
        <v>78814193670</v>
      </c>
      <c r="C322" s="2">
        <v>102541455</v>
      </c>
    </row>
    <row r="323" spans="1:3" x14ac:dyDescent="0.25">
      <c r="A323" s="2">
        <v>102865101</v>
      </c>
      <c r="B323" s="6" t="str">
        <f>"78814193664"</f>
        <v>78814193664</v>
      </c>
      <c r="C323" s="2">
        <v>102865101</v>
      </c>
    </row>
    <row r="324" spans="1:3" x14ac:dyDescent="0.25">
      <c r="A324" s="2" t="s">
        <v>112</v>
      </c>
      <c r="B324" s="6" t="str">
        <f>"78814193653"</f>
        <v>78814193653</v>
      </c>
      <c r="C324" s="2" t="s">
        <v>112</v>
      </c>
    </row>
    <row r="325" spans="1:3" x14ac:dyDescent="0.25">
      <c r="A325" s="2">
        <v>102678801</v>
      </c>
      <c r="B325" s="6" t="str">
        <f>"78814193652"</f>
        <v>78814193652</v>
      </c>
      <c r="C325" s="2">
        <v>102678801</v>
      </c>
    </row>
    <row r="326" spans="1:3" x14ac:dyDescent="0.25">
      <c r="A326" s="2">
        <v>101855002</v>
      </c>
      <c r="B326" s="6" t="str">
        <f>"78814193644"</f>
        <v>78814193644</v>
      </c>
      <c r="C326" s="2">
        <v>101855002</v>
      </c>
    </row>
    <row r="327" spans="1:3" x14ac:dyDescent="0.25">
      <c r="A327" s="8">
        <v>1011567</v>
      </c>
      <c r="B327" s="6" t="str">
        <f>"78814193643"</f>
        <v>78814193643</v>
      </c>
      <c r="C327" s="8">
        <v>1011567</v>
      </c>
    </row>
    <row r="328" spans="1:3" x14ac:dyDescent="0.25">
      <c r="A328" s="2">
        <v>102865101</v>
      </c>
      <c r="B328" s="6" t="str">
        <f>"78814193618"</f>
        <v>78814193618</v>
      </c>
      <c r="C328" s="2">
        <v>102865101</v>
      </c>
    </row>
    <row r="329" spans="1:3" x14ac:dyDescent="0.25">
      <c r="A329" s="2">
        <v>102198001</v>
      </c>
      <c r="B329" s="6" t="str">
        <f>"78814193614"</f>
        <v>78814193614</v>
      </c>
      <c r="C329" s="2">
        <v>102198001</v>
      </c>
    </row>
    <row r="330" spans="1:3" x14ac:dyDescent="0.25">
      <c r="A330" s="2">
        <v>102853101</v>
      </c>
      <c r="B330" s="6" t="str">
        <f>"78814193609"</f>
        <v>78814193609</v>
      </c>
      <c r="C330" s="2">
        <v>102853101</v>
      </c>
    </row>
    <row r="331" spans="1:3" x14ac:dyDescent="0.25">
      <c r="A331" s="2">
        <v>102909901</v>
      </c>
      <c r="B331" s="6" t="str">
        <f>"78814193607"</f>
        <v>78814193607</v>
      </c>
      <c r="C331" s="2">
        <v>102909901</v>
      </c>
    </row>
    <row r="332" spans="1:3" x14ac:dyDescent="0.25">
      <c r="A332" s="2" t="s">
        <v>113</v>
      </c>
      <c r="B332" s="6" t="str">
        <f>"78814193605"</f>
        <v>78814193605</v>
      </c>
      <c r="C332" s="2" t="s">
        <v>113</v>
      </c>
    </row>
    <row r="333" spans="1:3" x14ac:dyDescent="0.25">
      <c r="A333" s="2">
        <v>101835601</v>
      </c>
      <c r="B333" s="6" t="str">
        <f>"78814193604"</f>
        <v>78814193604</v>
      </c>
      <c r="C333" s="2">
        <v>101835601</v>
      </c>
    </row>
    <row r="334" spans="1:3" x14ac:dyDescent="0.25">
      <c r="A334" s="2">
        <v>7847</v>
      </c>
      <c r="B334" s="6" t="str">
        <f>"78814193603"</f>
        <v>78814193603</v>
      </c>
      <c r="C334" s="2">
        <v>7847</v>
      </c>
    </row>
    <row r="335" spans="1:3" x14ac:dyDescent="0.25">
      <c r="A335" s="2">
        <v>102853001</v>
      </c>
      <c r="B335" s="6" t="str">
        <f>"78814193598"</f>
        <v>78814193598</v>
      </c>
      <c r="C335" s="2">
        <v>102853001</v>
      </c>
    </row>
    <row r="336" spans="1:3" x14ac:dyDescent="0.25">
      <c r="A336" s="2">
        <v>102511101</v>
      </c>
      <c r="B336" s="6" t="str">
        <f>"78814193595"</f>
        <v>78814193595</v>
      </c>
      <c r="C336" s="2">
        <v>102511101</v>
      </c>
    </row>
    <row r="337" spans="1:3" x14ac:dyDescent="0.25">
      <c r="A337" s="2">
        <v>101908401</v>
      </c>
      <c r="B337" s="6" t="str">
        <f>"78814193594"</f>
        <v>78814193594</v>
      </c>
      <c r="C337" s="2">
        <v>101908401</v>
      </c>
    </row>
    <row r="338" spans="1:3" x14ac:dyDescent="0.25">
      <c r="A338" s="2">
        <v>102420201</v>
      </c>
      <c r="B338" s="6" t="str">
        <f>"78814193593"</f>
        <v>78814193593</v>
      </c>
      <c r="C338" s="2">
        <v>102420201</v>
      </c>
    </row>
    <row r="339" spans="1:3" x14ac:dyDescent="0.25">
      <c r="A339" s="2">
        <v>102400302</v>
      </c>
      <c r="B339" s="6" t="str">
        <f>"78814193589"</f>
        <v>78814193589</v>
      </c>
      <c r="C339" s="2">
        <v>102400302</v>
      </c>
    </row>
    <row r="340" spans="1:3" x14ac:dyDescent="0.25">
      <c r="A340" s="2">
        <v>102400202</v>
      </c>
      <c r="B340" s="6" t="str">
        <f>"78814193588"</f>
        <v>78814193588</v>
      </c>
      <c r="C340" s="2">
        <v>102400202</v>
      </c>
    </row>
    <row r="341" spans="1:3" x14ac:dyDescent="0.25">
      <c r="A341" s="2">
        <v>102720301</v>
      </c>
      <c r="B341" s="6" t="str">
        <f>"78814193587"</f>
        <v>78814193587</v>
      </c>
      <c r="C341" s="2">
        <v>102720301</v>
      </c>
    </row>
    <row r="342" spans="1:3" x14ac:dyDescent="0.25">
      <c r="A342" s="2">
        <v>102482301</v>
      </c>
      <c r="B342" s="6" t="str">
        <f>"78814193584"</f>
        <v>78814193584</v>
      </c>
      <c r="C342" s="2">
        <v>102482301</v>
      </c>
    </row>
    <row r="343" spans="1:3" x14ac:dyDescent="0.25">
      <c r="A343" s="2">
        <v>102541501</v>
      </c>
      <c r="B343" s="6" t="str">
        <f>"78814193582"</f>
        <v>78814193582</v>
      </c>
      <c r="C343" s="2">
        <v>102541501</v>
      </c>
    </row>
    <row r="344" spans="1:3" x14ac:dyDescent="0.25">
      <c r="A344" s="2">
        <v>102755501</v>
      </c>
      <c r="B344" s="6" t="str">
        <f>"78814193581"</f>
        <v>78814193581</v>
      </c>
      <c r="C344" s="2">
        <v>102755501</v>
      </c>
    </row>
    <row r="345" spans="1:3" x14ac:dyDescent="0.25">
      <c r="A345" s="2">
        <v>102732701</v>
      </c>
      <c r="B345" s="6" t="str">
        <f>"78814193580"</f>
        <v>78814193580</v>
      </c>
      <c r="C345" s="2">
        <v>102732701</v>
      </c>
    </row>
    <row r="346" spans="1:3" x14ac:dyDescent="0.25">
      <c r="A346" s="2">
        <v>102621901</v>
      </c>
      <c r="B346" s="6" t="str">
        <f>"78814193579"</f>
        <v>78814193579</v>
      </c>
      <c r="C346" s="2">
        <v>102621901</v>
      </c>
    </row>
    <row r="347" spans="1:3" x14ac:dyDescent="0.25">
      <c r="A347" s="2">
        <v>102621902</v>
      </c>
      <c r="B347" s="6" t="str">
        <f>"78814193578"</f>
        <v>78814193578</v>
      </c>
      <c r="C347" s="2">
        <v>102621902</v>
      </c>
    </row>
    <row r="348" spans="1:3" x14ac:dyDescent="0.25">
      <c r="A348" s="2">
        <v>102678501</v>
      </c>
      <c r="B348" s="6" t="str">
        <f>"78814193567"</f>
        <v>78814193567</v>
      </c>
      <c r="C348" s="2">
        <v>102678501</v>
      </c>
    </row>
    <row r="349" spans="1:3" x14ac:dyDescent="0.25">
      <c r="A349" s="2">
        <v>1010909</v>
      </c>
      <c r="B349" s="6" t="str">
        <f>"78814193563"</f>
        <v>78814193563</v>
      </c>
      <c r="C349" s="2">
        <v>1010909</v>
      </c>
    </row>
    <row r="350" spans="1:3" x14ac:dyDescent="0.25">
      <c r="A350" s="2">
        <v>1016</v>
      </c>
      <c r="B350" s="6" t="str">
        <f>"78814193562"</f>
        <v>78814193562</v>
      </c>
      <c r="C350" s="2">
        <v>1016</v>
      </c>
    </row>
    <row r="351" spans="1:3" x14ac:dyDescent="0.25">
      <c r="A351" s="2">
        <v>102763001</v>
      </c>
      <c r="B351" s="6" t="str">
        <f>"78814193560"</f>
        <v>78814193560</v>
      </c>
      <c r="C351" s="2">
        <v>102763001</v>
      </c>
    </row>
    <row r="352" spans="1:3" x14ac:dyDescent="0.25">
      <c r="A352" s="2" t="s">
        <v>114</v>
      </c>
      <c r="B352" s="6" t="str">
        <f>"78814193556"</f>
        <v>78814193556</v>
      </c>
      <c r="C352" s="2" t="s">
        <v>114</v>
      </c>
    </row>
    <row r="353" spans="1:3" x14ac:dyDescent="0.25">
      <c r="A353" s="2" t="s">
        <v>115</v>
      </c>
      <c r="B353" s="6" t="str">
        <f>"78814193555"</f>
        <v>78814193555</v>
      </c>
      <c r="C353" s="2" t="s">
        <v>115</v>
      </c>
    </row>
    <row r="354" spans="1:3" x14ac:dyDescent="0.25">
      <c r="A354" s="2" t="s">
        <v>116</v>
      </c>
      <c r="B354" s="6" t="str">
        <f>"78814193554"</f>
        <v>78814193554</v>
      </c>
      <c r="C354" s="2" t="s">
        <v>116</v>
      </c>
    </row>
    <row r="355" spans="1:3" x14ac:dyDescent="0.25">
      <c r="A355" s="2" t="s">
        <v>117</v>
      </c>
      <c r="B355" s="6" t="str">
        <f>"78814193553"</f>
        <v>78814193553</v>
      </c>
      <c r="C355" s="2" t="s">
        <v>117</v>
      </c>
    </row>
    <row r="356" spans="1:3" x14ac:dyDescent="0.25">
      <c r="A356" s="2" t="s">
        <v>118</v>
      </c>
      <c r="B356" s="6" t="str">
        <f>"78814193552"</f>
        <v>78814193552</v>
      </c>
      <c r="C356" s="2" t="s">
        <v>118</v>
      </c>
    </row>
    <row r="357" spans="1:3" x14ac:dyDescent="0.25">
      <c r="A357" s="2">
        <v>102621501</v>
      </c>
      <c r="B357" s="6" t="str">
        <f>"78814193549"</f>
        <v>78814193549</v>
      </c>
      <c r="C357" s="2">
        <v>102621501</v>
      </c>
    </row>
    <row r="358" spans="1:3" x14ac:dyDescent="0.25">
      <c r="A358" s="2">
        <v>102490301</v>
      </c>
      <c r="B358" s="6" t="str">
        <f>"78814193548"</f>
        <v>78814193548</v>
      </c>
      <c r="C358" s="2">
        <v>102490301</v>
      </c>
    </row>
    <row r="359" spans="1:3" x14ac:dyDescent="0.25">
      <c r="A359" s="4">
        <v>102618601</v>
      </c>
      <c r="B359" s="6" t="str">
        <f>"78814193545"</f>
        <v>78814193545</v>
      </c>
      <c r="C359" s="4">
        <v>102618601</v>
      </c>
    </row>
    <row r="360" spans="1:3" x14ac:dyDescent="0.25">
      <c r="A360" s="2">
        <v>102051901</v>
      </c>
      <c r="B360" s="6" t="str">
        <f>"78814193538"</f>
        <v>78814193538</v>
      </c>
      <c r="C360" s="2">
        <v>102051901</v>
      </c>
    </row>
    <row r="361" spans="1:3" x14ac:dyDescent="0.25">
      <c r="A361" s="2">
        <v>1013857</v>
      </c>
      <c r="B361" s="6" t="str">
        <f>"78814193537"</f>
        <v>78814193537</v>
      </c>
      <c r="C361" s="2">
        <v>1013857</v>
      </c>
    </row>
    <row r="362" spans="1:3" x14ac:dyDescent="0.25">
      <c r="A362" s="2">
        <v>1013858</v>
      </c>
      <c r="B362" s="6" t="str">
        <f>"78814193536"</f>
        <v>78814193536</v>
      </c>
      <c r="C362" s="2">
        <v>1013858</v>
      </c>
    </row>
    <row r="363" spans="1:3" x14ac:dyDescent="0.25">
      <c r="A363" s="2">
        <v>102810301</v>
      </c>
      <c r="B363" s="6" t="str">
        <f>"78814193535"</f>
        <v>78814193535</v>
      </c>
      <c r="C363" s="2">
        <v>102810301</v>
      </c>
    </row>
    <row r="364" spans="1:3" x14ac:dyDescent="0.25">
      <c r="A364" s="2">
        <v>102796701</v>
      </c>
      <c r="B364" s="6" t="str">
        <f>"78814193534"</f>
        <v>78814193534</v>
      </c>
      <c r="C364" s="2">
        <v>102796701</v>
      </c>
    </row>
    <row r="365" spans="1:3" x14ac:dyDescent="0.25">
      <c r="A365" s="6">
        <v>102742501</v>
      </c>
      <c r="B365" s="6" t="str">
        <f>"78814193527"</f>
        <v>78814193527</v>
      </c>
      <c r="C365" s="6">
        <v>102742501</v>
      </c>
    </row>
    <row r="366" spans="1:3" x14ac:dyDescent="0.25">
      <c r="A366" s="6">
        <v>102738501</v>
      </c>
      <c r="B366" s="6" t="str">
        <f>"78814193524"</f>
        <v>78814193524</v>
      </c>
      <c r="C366" s="6">
        <v>102738501</v>
      </c>
    </row>
    <row r="367" spans="1:3" x14ac:dyDescent="0.25">
      <c r="A367" s="2" t="s">
        <v>119</v>
      </c>
      <c r="B367" s="6" t="str">
        <f>"78814193523"</f>
        <v>78814193523</v>
      </c>
      <c r="C367" s="2" t="s">
        <v>119</v>
      </c>
    </row>
    <row r="368" spans="1:3" x14ac:dyDescent="0.25">
      <c r="A368" s="2">
        <v>102555501</v>
      </c>
      <c r="B368" s="6" t="str">
        <f>"78814193521"</f>
        <v>78814193521</v>
      </c>
      <c r="C368" s="2">
        <v>102555501</v>
      </c>
    </row>
    <row r="369" spans="1:3" x14ac:dyDescent="0.25">
      <c r="A369" s="2">
        <v>102714501</v>
      </c>
      <c r="B369" s="6" t="str">
        <f>"78814193516"</f>
        <v>78814193516</v>
      </c>
      <c r="C369" s="2">
        <v>102714501</v>
      </c>
    </row>
    <row r="370" spans="1:3" x14ac:dyDescent="0.25">
      <c r="A370" s="2" t="s">
        <v>120</v>
      </c>
      <c r="B370" s="6" t="str">
        <f>"78814193493"</f>
        <v>78814193493</v>
      </c>
      <c r="C370" s="2" t="s">
        <v>120</v>
      </c>
    </row>
    <row r="371" spans="1:3" x14ac:dyDescent="0.25">
      <c r="A371" s="2">
        <v>102677101</v>
      </c>
      <c r="B371" s="6" t="str">
        <f>"78814193492"</f>
        <v>78814193492</v>
      </c>
      <c r="C371" s="2">
        <v>102677101</v>
      </c>
    </row>
    <row r="372" spans="1:3" x14ac:dyDescent="0.25">
      <c r="A372" s="2">
        <v>102296716</v>
      </c>
      <c r="B372" s="6" t="str">
        <f>"78814193491"</f>
        <v>78814193491</v>
      </c>
      <c r="C372" s="2">
        <v>102296716</v>
      </c>
    </row>
    <row r="373" spans="1:3" x14ac:dyDescent="0.25">
      <c r="A373" s="2">
        <v>102411210</v>
      </c>
      <c r="B373" s="6" t="str">
        <f>"78814193490"</f>
        <v>78814193490</v>
      </c>
      <c r="C373" s="2">
        <v>102411210</v>
      </c>
    </row>
    <row r="374" spans="1:3" x14ac:dyDescent="0.25">
      <c r="A374" s="2">
        <v>102414501</v>
      </c>
      <c r="B374" s="6" t="str">
        <f>"78814193489"</f>
        <v>78814193489</v>
      </c>
      <c r="C374" s="2">
        <v>102414501</v>
      </c>
    </row>
    <row r="375" spans="1:3" x14ac:dyDescent="0.25">
      <c r="A375" s="2">
        <v>102481001</v>
      </c>
      <c r="B375" s="6" t="str">
        <f>"78814193488"</f>
        <v>78814193488</v>
      </c>
      <c r="C375" s="2">
        <v>102481001</v>
      </c>
    </row>
    <row r="376" spans="1:3" x14ac:dyDescent="0.25">
      <c r="A376" s="2">
        <v>102481201</v>
      </c>
      <c r="B376" s="6" t="str">
        <f>"78814193486"</f>
        <v>78814193486</v>
      </c>
      <c r="C376" s="2">
        <v>102481201</v>
      </c>
    </row>
    <row r="377" spans="1:3" x14ac:dyDescent="0.25">
      <c r="A377" s="2">
        <v>102628001</v>
      </c>
      <c r="B377" s="6" t="str">
        <f>"78814193485"</f>
        <v>78814193485</v>
      </c>
      <c r="C377" s="2">
        <v>102628001</v>
      </c>
    </row>
    <row r="378" spans="1:3" x14ac:dyDescent="0.25">
      <c r="A378" s="2">
        <v>102710101</v>
      </c>
      <c r="B378" s="6" t="str">
        <f>"78814193483"</f>
        <v>78814193483</v>
      </c>
      <c r="C378" s="2">
        <v>102710101</v>
      </c>
    </row>
    <row r="379" spans="1:3" x14ac:dyDescent="0.25">
      <c r="A379" s="2">
        <v>102721601</v>
      </c>
      <c r="B379" s="6" t="str">
        <f>"78814193482"</f>
        <v>78814193482</v>
      </c>
      <c r="C379" s="2">
        <v>102721601</v>
      </c>
    </row>
    <row r="380" spans="1:3" x14ac:dyDescent="0.25">
      <c r="A380" s="2">
        <v>102725801</v>
      </c>
      <c r="B380" s="6" t="str">
        <f>"78814193481"</f>
        <v>78814193481</v>
      </c>
      <c r="C380" s="2">
        <v>102725801</v>
      </c>
    </row>
    <row r="381" spans="1:3" x14ac:dyDescent="0.25">
      <c r="A381" s="2">
        <v>102725901</v>
      </c>
      <c r="B381" s="6" t="str">
        <f>"78814193480"</f>
        <v>78814193480</v>
      </c>
      <c r="C381" s="2">
        <v>102725901</v>
      </c>
    </row>
    <row r="382" spans="1:3" x14ac:dyDescent="0.25">
      <c r="A382" s="2">
        <v>102714701</v>
      </c>
      <c r="B382" s="6" t="str">
        <f>"78814193473"</f>
        <v>78814193473</v>
      </c>
      <c r="C382" s="2">
        <v>102714701</v>
      </c>
    </row>
    <row r="383" spans="1:3" x14ac:dyDescent="0.25">
      <c r="A383" s="2">
        <v>102541402</v>
      </c>
      <c r="B383" s="6" t="str">
        <f>"78814193471"</f>
        <v>78814193471</v>
      </c>
      <c r="C383" s="2">
        <v>102541402</v>
      </c>
    </row>
    <row r="384" spans="1:3" x14ac:dyDescent="0.25">
      <c r="A384" s="2">
        <v>102711801</v>
      </c>
      <c r="B384" s="6" t="str">
        <f>"78814193470"</f>
        <v>78814193470</v>
      </c>
      <c r="C384" s="2">
        <v>102711801</v>
      </c>
    </row>
    <row r="385" spans="1:3" x14ac:dyDescent="0.25">
      <c r="A385" s="2">
        <v>102715801</v>
      </c>
      <c r="B385" s="6" t="str">
        <f>"78814193469"</f>
        <v>78814193469</v>
      </c>
      <c r="C385" s="2">
        <v>102715801</v>
      </c>
    </row>
    <row r="386" spans="1:3" x14ac:dyDescent="0.25">
      <c r="A386" s="2">
        <v>102713401</v>
      </c>
      <c r="B386" s="6" t="str">
        <f>"78814193468"</f>
        <v>78814193468</v>
      </c>
      <c r="C386" s="2">
        <v>102713401</v>
      </c>
    </row>
    <row r="387" spans="1:3" x14ac:dyDescent="0.25">
      <c r="A387" s="2">
        <v>102672701</v>
      </c>
      <c r="B387" s="6" t="str">
        <f>"78814193465"</f>
        <v>78814193465</v>
      </c>
      <c r="C387" s="2">
        <v>102672701</v>
      </c>
    </row>
    <row r="388" spans="1:3" x14ac:dyDescent="0.25">
      <c r="A388" s="2">
        <v>101932201</v>
      </c>
      <c r="B388" s="6" t="str">
        <f>"78814193464"</f>
        <v>78814193464</v>
      </c>
      <c r="C388" s="2">
        <v>101932201</v>
      </c>
    </row>
    <row r="389" spans="1:3" x14ac:dyDescent="0.25">
      <c r="A389" s="2">
        <v>102375401</v>
      </c>
      <c r="B389" s="6" t="str">
        <f>"78814193462"</f>
        <v>78814193462</v>
      </c>
      <c r="C389" s="2">
        <v>102375401</v>
      </c>
    </row>
    <row r="390" spans="1:3" x14ac:dyDescent="0.25">
      <c r="A390" s="2">
        <v>102579601</v>
      </c>
      <c r="B390" s="6" t="str">
        <f>"78814193461"</f>
        <v>78814193461</v>
      </c>
      <c r="C390" s="2">
        <v>102579601</v>
      </c>
    </row>
    <row r="391" spans="1:3" x14ac:dyDescent="0.25">
      <c r="A391" s="8">
        <v>101770204</v>
      </c>
      <c r="B391" s="6" t="str">
        <f>"78814193460"</f>
        <v>78814193460</v>
      </c>
      <c r="C391" s="8">
        <v>101770204</v>
      </c>
    </row>
    <row r="392" spans="1:3" x14ac:dyDescent="0.25">
      <c r="A392" s="2">
        <v>102722001</v>
      </c>
      <c r="B392" s="6" t="str">
        <f>"78814193439"</f>
        <v>78814193439</v>
      </c>
      <c r="C392" s="2">
        <v>102722001</v>
      </c>
    </row>
    <row r="393" spans="1:3" x14ac:dyDescent="0.25">
      <c r="A393" s="2">
        <v>102716301</v>
      </c>
      <c r="B393" s="6" t="str">
        <f>"78814193438"</f>
        <v>78814193438</v>
      </c>
      <c r="C393" s="2">
        <v>102716301</v>
      </c>
    </row>
    <row r="394" spans="1:3" x14ac:dyDescent="0.25">
      <c r="A394" s="2">
        <v>102715001</v>
      </c>
      <c r="B394" s="6" t="str">
        <f>"78814193437"</f>
        <v>78814193437</v>
      </c>
      <c r="C394" s="2">
        <v>102715001</v>
      </c>
    </row>
    <row r="395" spans="1:3" x14ac:dyDescent="0.25">
      <c r="A395" s="2">
        <v>102714901</v>
      </c>
      <c r="B395" s="6" t="str">
        <f>"78814193436"</f>
        <v>78814193436</v>
      </c>
      <c r="C395" s="2">
        <v>102714901</v>
      </c>
    </row>
    <row r="396" spans="1:3" x14ac:dyDescent="0.25">
      <c r="A396" s="2">
        <v>102679701</v>
      </c>
      <c r="B396" s="6" t="str">
        <f>"78814193435"</f>
        <v>78814193435</v>
      </c>
      <c r="C396" s="2">
        <v>102679701</v>
      </c>
    </row>
    <row r="397" spans="1:3" x14ac:dyDescent="0.25">
      <c r="A397" s="2">
        <v>102716801</v>
      </c>
      <c r="B397" s="6" t="str">
        <f>"78814193434"</f>
        <v>78814193434</v>
      </c>
      <c r="C397" s="2">
        <v>102716801</v>
      </c>
    </row>
    <row r="398" spans="1:3" x14ac:dyDescent="0.25">
      <c r="A398" s="2">
        <v>1013061</v>
      </c>
      <c r="B398" s="6" t="str">
        <f>"78814193382"</f>
        <v>78814193382</v>
      </c>
      <c r="C398" s="2">
        <v>1013061</v>
      </c>
    </row>
    <row r="399" spans="1:3" x14ac:dyDescent="0.25">
      <c r="A399" s="5">
        <v>102481301</v>
      </c>
      <c r="B399" s="6" t="str">
        <f>"78814193367"</f>
        <v>78814193367</v>
      </c>
      <c r="C399" s="5">
        <v>102481301</v>
      </c>
    </row>
    <row r="400" spans="1:3" x14ac:dyDescent="0.25">
      <c r="A400" s="8" t="s">
        <v>141</v>
      </c>
      <c r="B400" s="6" t="str">
        <f>"78814193358"</f>
        <v>78814193358</v>
      </c>
      <c r="C400" s="8" t="s">
        <v>141</v>
      </c>
    </row>
    <row r="401" spans="1:3" x14ac:dyDescent="0.25">
      <c r="A401" s="2">
        <v>102535401</v>
      </c>
      <c r="B401" s="6" t="str">
        <f>"78814193335"</f>
        <v>78814193335</v>
      </c>
      <c r="C401" s="2">
        <v>102535401</v>
      </c>
    </row>
    <row r="402" spans="1:3" x14ac:dyDescent="0.25">
      <c r="A402" s="2">
        <v>1010144</v>
      </c>
      <c r="B402" s="6" t="str">
        <f>"78814193334"</f>
        <v>78814193334</v>
      </c>
      <c r="C402" s="2">
        <v>1010144</v>
      </c>
    </row>
    <row r="403" spans="1:3" x14ac:dyDescent="0.25">
      <c r="A403" s="2">
        <v>102684901</v>
      </c>
      <c r="B403" s="6" t="str">
        <f>"78814193332"</f>
        <v>78814193332</v>
      </c>
      <c r="C403" s="2">
        <v>102684901</v>
      </c>
    </row>
    <row r="404" spans="1:3" x14ac:dyDescent="0.25">
      <c r="A404" s="2">
        <v>102616101</v>
      </c>
      <c r="B404" s="6" t="str">
        <f>"78814193329"</f>
        <v>78814193329</v>
      </c>
      <c r="C404" s="2">
        <v>102616101</v>
      </c>
    </row>
    <row r="405" spans="1:3" x14ac:dyDescent="0.25">
      <c r="A405" s="2">
        <v>102571901</v>
      </c>
      <c r="B405" s="6" t="str">
        <f>"78814193308"</f>
        <v>78814193308</v>
      </c>
      <c r="C405" s="2">
        <v>102571901</v>
      </c>
    </row>
    <row r="406" spans="1:3" x14ac:dyDescent="0.25">
      <c r="A406" s="2">
        <v>102571101</v>
      </c>
      <c r="B406" s="6" t="str">
        <f>"78814193307"</f>
        <v>78814193307</v>
      </c>
      <c r="C406" s="2">
        <v>102571101</v>
      </c>
    </row>
    <row r="407" spans="1:3" x14ac:dyDescent="0.25">
      <c r="A407" s="2">
        <v>102420401</v>
      </c>
      <c r="B407" s="6" t="str">
        <f>"78814193295"</f>
        <v>78814193295</v>
      </c>
      <c r="C407" s="2">
        <v>102420401</v>
      </c>
    </row>
    <row r="408" spans="1:3" x14ac:dyDescent="0.25">
      <c r="A408" s="2">
        <v>102544001</v>
      </c>
      <c r="B408" s="6" t="str">
        <f>"78814193287"</f>
        <v>78814193287</v>
      </c>
      <c r="C408" s="2">
        <v>102544001</v>
      </c>
    </row>
    <row r="409" spans="1:3" x14ac:dyDescent="0.25">
      <c r="A409" s="8">
        <v>1017145</v>
      </c>
      <c r="B409" s="6" t="str">
        <f>"78814193280"</f>
        <v>78814193280</v>
      </c>
      <c r="C409" s="8">
        <v>1017145</v>
      </c>
    </row>
    <row r="410" spans="1:3" x14ac:dyDescent="0.25">
      <c r="A410" s="2">
        <v>102544201</v>
      </c>
      <c r="B410" s="6" t="str">
        <f>"78814193261"</f>
        <v>78814193261</v>
      </c>
      <c r="C410" s="2">
        <v>102544201</v>
      </c>
    </row>
    <row r="411" spans="1:3" x14ac:dyDescent="0.25">
      <c r="A411" s="2">
        <v>102299065</v>
      </c>
      <c r="B411" s="6" t="str">
        <f>"78814193260"</f>
        <v>78814193260</v>
      </c>
      <c r="C411" s="2">
        <v>102299065</v>
      </c>
    </row>
    <row r="412" spans="1:3" x14ac:dyDescent="0.25">
      <c r="A412" s="2">
        <v>102629001</v>
      </c>
      <c r="B412" s="6" t="str">
        <f>"78814193258"</f>
        <v>78814193258</v>
      </c>
      <c r="C412" s="2">
        <v>102629001</v>
      </c>
    </row>
    <row r="413" spans="1:3" x14ac:dyDescent="0.25">
      <c r="A413" s="8">
        <v>102467101</v>
      </c>
      <c r="B413" s="6" t="str">
        <f>"78814193257"</f>
        <v>78814193257</v>
      </c>
      <c r="C413" s="8">
        <v>102467101</v>
      </c>
    </row>
    <row r="414" spans="1:3" x14ac:dyDescent="0.25">
      <c r="A414" s="4">
        <v>102469801</v>
      </c>
      <c r="B414" s="6" t="str">
        <f>"78814193246"</f>
        <v>78814193246</v>
      </c>
      <c r="C414" s="4">
        <v>102469801</v>
      </c>
    </row>
    <row r="415" spans="1:3" x14ac:dyDescent="0.25">
      <c r="A415" s="2">
        <v>102426301</v>
      </c>
      <c r="B415" s="6" t="str">
        <f>"78814193242"</f>
        <v>78814193242</v>
      </c>
      <c r="C415" s="2">
        <v>102426301</v>
      </c>
    </row>
    <row r="416" spans="1:3" x14ac:dyDescent="0.25">
      <c r="A416" s="2">
        <v>102426601</v>
      </c>
      <c r="B416" s="6" t="str">
        <f>"78814193241"</f>
        <v>78814193241</v>
      </c>
      <c r="C416" s="2">
        <v>102426601</v>
      </c>
    </row>
    <row r="417" spans="1:3" x14ac:dyDescent="0.25">
      <c r="A417" s="2">
        <v>102427501</v>
      </c>
      <c r="B417" s="6" t="str">
        <f>"78814193231"</f>
        <v>78814193231</v>
      </c>
      <c r="C417" s="2">
        <v>102427501</v>
      </c>
    </row>
    <row r="418" spans="1:3" x14ac:dyDescent="0.25">
      <c r="A418" s="2">
        <v>102479301</v>
      </c>
      <c r="B418" s="6" t="str">
        <f>"78814193230"</f>
        <v>78814193230</v>
      </c>
      <c r="C418" s="2">
        <v>102479301</v>
      </c>
    </row>
    <row r="419" spans="1:3" x14ac:dyDescent="0.25">
      <c r="A419" s="2" t="s">
        <v>121</v>
      </c>
      <c r="B419" s="6" t="str">
        <f>"78814193219"</f>
        <v>78814193219</v>
      </c>
      <c r="C419" s="2" t="s">
        <v>121</v>
      </c>
    </row>
    <row r="420" spans="1:3" x14ac:dyDescent="0.25">
      <c r="A420" s="2">
        <v>101856002</v>
      </c>
      <c r="B420" s="6" t="str">
        <f>"78814193218"</f>
        <v>78814193218</v>
      </c>
      <c r="C420" s="2">
        <v>101856002</v>
      </c>
    </row>
    <row r="421" spans="1:3" x14ac:dyDescent="0.25">
      <c r="A421" s="6">
        <v>102457101</v>
      </c>
      <c r="B421" s="6" t="str">
        <f>"78814193212"</f>
        <v>78814193212</v>
      </c>
      <c r="C421" s="6">
        <v>102457101</v>
      </c>
    </row>
    <row r="422" spans="1:3" x14ac:dyDescent="0.25">
      <c r="A422" s="6">
        <v>102457001</v>
      </c>
      <c r="B422" s="6" t="str">
        <f>"78814193211"</f>
        <v>78814193211</v>
      </c>
      <c r="C422" s="6">
        <v>102457001</v>
      </c>
    </row>
    <row r="423" spans="1:3" x14ac:dyDescent="0.25">
      <c r="A423" s="2">
        <v>102685001</v>
      </c>
      <c r="B423" s="6" t="str">
        <f>"78814193207"</f>
        <v>78814193207</v>
      </c>
      <c r="C423" s="2">
        <v>102685001</v>
      </c>
    </row>
    <row r="424" spans="1:3" x14ac:dyDescent="0.25">
      <c r="A424" s="2">
        <v>101770203</v>
      </c>
      <c r="B424" s="6" t="str">
        <f>"78814193206"</f>
        <v>78814193206</v>
      </c>
      <c r="C424" s="2">
        <v>101770203</v>
      </c>
    </row>
    <row r="425" spans="1:3" x14ac:dyDescent="0.25">
      <c r="A425" s="2">
        <v>101770202</v>
      </c>
      <c r="B425" s="6" t="str">
        <f>"78814193205"</f>
        <v>78814193205</v>
      </c>
      <c r="C425" s="2">
        <v>101770202</v>
      </c>
    </row>
    <row r="426" spans="1:3" x14ac:dyDescent="0.25">
      <c r="A426" s="2">
        <v>101770201</v>
      </c>
      <c r="B426" s="6" t="str">
        <f>"78814193204"</f>
        <v>78814193204</v>
      </c>
      <c r="C426" s="2">
        <v>101770201</v>
      </c>
    </row>
    <row r="427" spans="1:3" x14ac:dyDescent="0.25">
      <c r="A427" s="2">
        <v>102457501</v>
      </c>
      <c r="B427" s="6" t="str">
        <f>"78814193201"</f>
        <v>78814193201</v>
      </c>
      <c r="C427" s="2">
        <v>102457501</v>
      </c>
    </row>
    <row r="428" spans="1:3" x14ac:dyDescent="0.25">
      <c r="A428" s="6">
        <v>102495701</v>
      </c>
      <c r="B428" s="6" t="str">
        <f>"78814193200"</f>
        <v>78814193200</v>
      </c>
      <c r="C428" s="6">
        <v>102495701</v>
      </c>
    </row>
    <row r="429" spans="1:3" x14ac:dyDescent="0.25">
      <c r="A429" s="2">
        <v>102544101</v>
      </c>
      <c r="B429" s="6" t="str">
        <f>"78814193193"</f>
        <v>78814193193</v>
      </c>
      <c r="C429" s="2">
        <v>102544101</v>
      </c>
    </row>
    <row r="430" spans="1:3" x14ac:dyDescent="0.25">
      <c r="A430" s="2">
        <v>102445201</v>
      </c>
      <c r="B430" s="6" t="str">
        <f>"78814193190"</f>
        <v>78814193190</v>
      </c>
      <c r="C430" s="2">
        <v>102445201</v>
      </c>
    </row>
    <row r="431" spans="1:3" x14ac:dyDescent="0.25">
      <c r="A431" s="2">
        <v>102476301</v>
      </c>
      <c r="B431" s="6" t="str">
        <f>"78814193189"</f>
        <v>78814193189</v>
      </c>
      <c r="C431" s="2">
        <v>102476301</v>
      </c>
    </row>
    <row r="432" spans="1:3" x14ac:dyDescent="0.25">
      <c r="A432" s="2">
        <v>1017035</v>
      </c>
      <c r="B432" s="6" t="str">
        <f>"78814193187"</f>
        <v>78814193187</v>
      </c>
      <c r="C432" s="2">
        <v>1017035</v>
      </c>
    </row>
    <row r="433" spans="1:3" x14ac:dyDescent="0.25">
      <c r="A433" s="2">
        <v>102469901</v>
      </c>
      <c r="B433" s="6" t="str">
        <f>"78814193181"</f>
        <v>78814193181</v>
      </c>
      <c r="C433" s="2">
        <v>102469901</v>
      </c>
    </row>
    <row r="434" spans="1:3" x14ac:dyDescent="0.25">
      <c r="A434" s="2">
        <v>102435001</v>
      </c>
      <c r="B434" s="6" t="str">
        <f>"78814193175"</f>
        <v>78814193175</v>
      </c>
      <c r="C434" s="2">
        <v>102435001</v>
      </c>
    </row>
    <row r="435" spans="1:3" x14ac:dyDescent="0.25">
      <c r="A435" s="2">
        <v>102462301</v>
      </c>
      <c r="B435" s="6" t="str">
        <f>"78814193166"</f>
        <v>78814193166</v>
      </c>
      <c r="C435" s="2">
        <v>102462301</v>
      </c>
    </row>
    <row r="436" spans="1:3" x14ac:dyDescent="0.25">
      <c r="A436" s="2">
        <v>102462401</v>
      </c>
      <c r="B436" s="6" t="str">
        <f>"78814193165"</f>
        <v>78814193165</v>
      </c>
      <c r="C436" s="2">
        <v>102462401</v>
      </c>
    </row>
    <row r="437" spans="1:3" x14ac:dyDescent="0.25">
      <c r="A437" s="2">
        <v>102430401</v>
      </c>
      <c r="B437" s="6" t="str">
        <f>"78814193164"</f>
        <v>78814193164</v>
      </c>
      <c r="C437" s="2">
        <v>102430401</v>
      </c>
    </row>
    <row r="438" spans="1:3" x14ac:dyDescent="0.25">
      <c r="A438" s="4">
        <v>1010317</v>
      </c>
      <c r="B438" s="6" t="str">
        <f>"78814193153"</f>
        <v>78814193153</v>
      </c>
      <c r="C438" s="4">
        <v>1010317</v>
      </c>
    </row>
    <row r="439" spans="1:3" x14ac:dyDescent="0.25">
      <c r="A439" s="2">
        <v>43834</v>
      </c>
      <c r="B439" s="6" t="str">
        <f>"78814193148"</f>
        <v>78814193148</v>
      </c>
      <c r="C439" s="2">
        <v>43834</v>
      </c>
    </row>
    <row r="440" spans="1:3" x14ac:dyDescent="0.25">
      <c r="A440" s="2">
        <v>102310901</v>
      </c>
      <c r="B440" s="6" t="str">
        <f>"78814193137"</f>
        <v>78814193137</v>
      </c>
      <c r="C440" s="2">
        <v>102310901</v>
      </c>
    </row>
    <row r="441" spans="1:3" x14ac:dyDescent="0.25">
      <c r="A441" s="2">
        <v>1013687</v>
      </c>
      <c r="B441" s="6" t="str">
        <f>"78814193136"</f>
        <v>78814193136</v>
      </c>
      <c r="C441" s="2">
        <v>1013687</v>
      </c>
    </row>
    <row r="442" spans="1:3" x14ac:dyDescent="0.25">
      <c r="A442" s="2">
        <v>1012649</v>
      </c>
      <c r="B442" s="6" t="str">
        <f>"78814193135"</f>
        <v>78814193135</v>
      </c>
      <c r="C442" s="2">
        <v>1012649</v>
      </c>
    </row>
    <row r="443" spans="1:3" x14ac:dyDescent="0.25">
      <c r="A443" s="6">
        <v>1016901</v>
      </c>
      <c r="B443" s="6" t="str">
        <f>"78814193122"</f>
        <v>78814193122</v>
      </c>
      <c r="C443" s="6">
        <v>1016901</v>
      </c>
    </row>
    <row r="444" spans="1:3" x14ac:dyDescent="0.25">
      <c r="A444" s="2">
        <v>1015391</v>
      </c>
      <c r="B444" s="6" t="str">
        <f>"78814193121"</f>
        <v>78814193121</v>
      </c>
      <c r="C444" s="2">
        <v>1015391</v>
      </c>
    </row>
    <row r="445" spans="1:3" x14ac:dyDescent="0.25">
      <c r="A445" s="2">
        <v>1015390</v>
      </c>
      <c r="B445" s="6" t="str">
        <f>"78814193120"</f>
        <v>78814193120</v>
      </c>
      <c r="C445" s="2">
        <v>1015390</v>
      </c>
    </row>
    <row r="446" spans="1:3" x14ac:dyDescent="0.25">
      <c r="A446" s="2">
        <v>1014217</v>
      </c>
      <c r="B446" s="6" t="str">
        <f>"78814193119"</f>
        <v>78814193119</v>
      </c>
      <c r="C446" s="2">
        <v>1014217</v>
      </c>
    </row>
    <row r="447" spans="1:3" x14ac:dyDescent="0.25">
      <c r="A447" s="2">
        <v>1014051</v>
      </c>
      <c r="B447" s="6" t="str">
        <f>"78814193118"</f>
        <v>78814193118</v>
      </c>
      <c r="C447" s="2">
        <v>1014051</v>
      </c>
    </row>
    <row r="448" spans="1:3" x14ac:dyDescent="0.25">
      <c r="A448" s="6">
        <v>1013998</v>
      </c>
      <c r="B448" s="6" t="str">
        <f>"78814193117"</f>
        <v>78814193117</v>
      </c>
      <c r="C448" s="6">
        <v>1013998</v>
      </c>
    </row>
    <row r="449" spans="1:3" x14ac:dyDescent="0.25">
      <c r="A449" s="2">
        <v>1013590</v>
      </c>
      <c r="B449" s="6" t="str">
        <f>"78814193116"</f>
        <v>78814193116</v>
      </c>
      <c r="C449" s="2">
        <v>1013590</v>
      </c>
    </row>
    <row r="450" spans="1:3" x14ac:dyDescent="0.25">
      <c r="A450" s="2">
        <v>1013531</v>
      </c>
      <c r="B450" s="6" t="str">
        <f>"78814193115"</f>
        <v>78814193115</v>
      </c>
      <c r="C450" s="2">
        <v>1013531</v>
      </c>
    </row>
    <row r="451" spans="1:3" x14ac:dyDescent="0.25">
      <c r="A451" s="2">
        <v>1013207</v>
      </c>
      <c r="B451" s="6" t="str">
        <f>"78814193114"</f>
        <v>78814193114</v>
      </c>
      <c r="C451" s="2">
        <v>1013207</v>
      </c>
    </row>
    <row r="452" spans="1:3" x14ac:dyDescent="0.25">
      <c r="A452" s="2">
        <v>1010933</v>
      </c>
      <c r="B452" s="6" t="str">
        <f>"78814193113"</f>
        <v>78814193113</v>
      </c>
      <c r="C452" s="2">
        <v>1010933</v>
      </c>
    </row>
    <row r="453" spans="1:3" x14ac:dyDescent="0.25">
      <c r="A453" s="2">
        <v>7627</v>
      </c>
      <c r="B453" s="6" t="str">
        <f>"78814193112"</f>
        <v>78814193112</v>
      </c>
      <c r="C453" s="2">
        <v>7627</v>
      </c>
    </row>
    <row r="454" spans="1:3" x14ac:dyDescent="0.25">
      <c r="A454" s="2">
        <v>1010142</v>
      </c>
      <c r="B454" s="6" t="str">
        <f>"78814193111"</f>
        <v>78814193111</v>
      </c>
      <c r="C454" s="2">
        <v>1010142</v>
      </c>
    </row>
    <row r="455" spans="1:3" x14ac:dyDescent="0.25">
      <c r="A455" s="2">
        <v>102408401</v>
      </c>
      <c r="B455" s="6" t="str">
        <f>"78814193110"</f>
        <v>78814193110</v>
      </c>
      <c r="C455" s="2">
        <v>102408401</v>
      </c>
    </row>
    <row r="456" spans="1:3" x14ac:dyDescent="0.25">
      <c r="A456" s="2">
        <v>102266201</v>
      </c>
      <c r="B456" s="6" t="str">
        <f>"78814193108"</f>
        <v>78814193108</v>
      </c>
      <c r="C456" s="2">
        <v>102266201</v>
      </c>
    </row>
    <row r="457" spans="1:3" x14ac:dyDescent="0.25">
      <c r="A457" s="2">
        <v>101836202</v>
      </c>
      <c r="B457" s="6" t="str">
        <f>"78814193107"</f>
        <v>78814193107</v>
      </c>
      <c r="C457" s="2">
        <v>101836202</v>
      </c>
    </row>
    <row r="458" spans="1:3" x14ac:dyDescent="0.25">
      <c r="A458" s="2">
        <v>101836201</v>
      </c>
      <c r="B458" s="6" t="str">
        <f>"78814193106"</f>
        <v>78814193106</v>
      </c>
      <c r="C458" s="2">
        <v>101836201</v>
      </c>
    </row>
    <row r="459" spans="1:3" x14ac:dyDescent="0.25">
      <c r="A459" s="2">
        <v>101796201</v>
      </c>
      <c r="B459" s="6" t="str">
        <f>"78814193105"</f>
        <v>78814193105</v>
      </c>
      <c r="C459" s="2">
        <v>101796201</v>
      </c>
    </row>
    <row r="460" spans="1:3" x14ac:dyDescent="0.25">
      <c r="A460" s="6">
        <v>1017732</v>
      </c>
      <c r="B460" s="6" t="str">
        <f>"78814193104"</f>
        <v>78814193104</v>
      </c>
      <c r="C460" s="6">
        <v>1017732</v>
      </c>
    </row>
    <row r="461" spans="1:3" x14ac:dyDescent="0.25">
      <c r="A461" s="2">
        <v>1017428</v>
      </c>
      <c r="B461" s="6" t="str">
        <f>"78814193103"</f>
        <v>78814193103</v>
      </c>
      <c r="C461" s="2">
        <v>1017428</v>
      </c>
    </row>
    <row r="462" spans="1:3" x14ac:dyDescent="0.25">
      <c r="A462" s="2">
        <v>102361401</v>
      </c>
      <c r="B462" s="6" t="str">
        <f>"78814193100"</f>
        <v>78814193100</v>
      </c>
      <c r="C462" s="2">
        <v>102361401</v>
      </c>
    </row>
    <row r="463" spans="1:3" x14ac:dyDescent="0.25">
      <c r="A463" s="2">
        <v>102508701</v>
      </c>
      <c r="B463" s="6" t="str">
        <f>"78814193096"</f>
        <v>78814193096</v>
      </c>
      <c r="C463" s="2">
        <v>102508701</v>
      </c>
    </row>
    <row r="464" spans="1:3" x14ac:dyDescent="0.25">
      <c r="A464" s="2">
        <v>102359301</v>
      </c>
      <c r="B464" s="6" t="str">
        <f>"78814193086"</f>
        <v>78814193086</v>
      </c>
      <c r="C464" s="2">
        <v>102359301</v>
      </c>
    </row>
    <row r="465" spans="1:3" x14ac:dyDescent="0.25">
      <c r="A465" s="2">
        <v>102365401</v>
      </c>
      <c r="B465" s="6" t="str">
        <f>"78814193077"</f>
        <v>78814193077</v>
      </c>
      <c r="C465" s="2">
        <v>102365401</v>
      </c>
    </row>
    <row r="466" spans="1:3" x14ac:dyDescent="0.25">
      <c r="A466" s="2">
        <v>1010434</v>
      </c>
      <c r="B466" s="6" t="str">
        <f>"78814193061"</f>
        <v>78814193061</v>
      </c>
      <c r="C466" s="2">
        <v>1010434</v>
      </c>
    </row>
    <row r="467" spans="1:3" x14ac:dyDescent="0.25">
      <c r="A467" s="2">
        <v>102506601</v>
      </c>
      <c r="B467" s="6" t="str">
        <f>"78814193042"</f>
        <v>78814193042</v>
      </c>
      <c r="C467" s="2">
        <v>102506601</v>
      </c>
    </row>
    <row r="468" spans="1:3" x14ac:dyDescent="0.25">
      <c r="A468" s="2">
        <v>102517501</v>
      </c>
      <c r="B468" s="6" t="str">
        <f>"78814193039"</f>
        <v>78814193039</v>
      </c>
      <c r="C468" s="2">
        <v>102517501</v>
      </c>
    </row>
    <row r="469" spans="1:3" x14ac:dyDescent="0.25">
      <c r="A469" s="2">
        <v>101802601</v>
      </c>
      <c r="B469" s="6" t="str">
        <f>"78814193005"</f>
        <v>78814193005</v>
      </c>
      <c r="C469" s="2">
        <v>101802601</v>
      </c>
    </row>
    <row r="470" spans="1:3" x14ac:dyDescent="0.25">
      <c r="A470" s="2">
        <v>101935501</v>
      </c>
      <c r="B470" s="6" t="str">
        <f>"78814193004"</f>
        <v>78814193004</v>
      </c>
      <c r="C470" s="2">
        <v>101935501</v>
      </c>
    </row>
    <row r="471" spans="1:3" x14ac:dyDescent="0.25">
      <c r="A471" s="2">
        <v>1016630</v>
      </c>
      <c r="B471" s="6" t="str">
        <f>"78814193003"</f>
        <v>78814193003</v>
      </c>
      <c r="C471" s="2">
        <v>1016630</v>
      </c>
    </row>
    <row r="472" spans="1:3" x14ac:dyDescent="0.25">
      <c r="A472" s="2">
        <v>1016346</v>
      </c>
      <c r="B472" s="6" t="str">
        <f>"78814192986"</f>
        <v>78814192986</v>
      </c>
      <c r="C472" s="2">
        <v>1016346</v>
      </c>
    </row>
    <row r="473" spans="1:3" x14ac:dyDescent="0.25">
      <c r="A473" s="2">
        <v>102003201</v>
      </c>
      <c r="B473" s="6" t="str">
        <f>"78814192985"</f>
        <v>78814192985</v>
      </c>
      <c r="C473" s="2">
        <v>102003201</v>
      </c>
    </row>
    <row r="474" spans="1:3" x14ac:dyDescent="0.25">
      <c r="A474" s="2">
        <v>1016467</v>
      </c>
      <c r="B474" s="6" t="str">
        <f>"78814192984"</f>
        <v>78814192984</v>
      </c>
      <c r="C474" s="2">
        <v>1016467</v>
      </c>
    </row>
    <row r="475" spans="1:3" x14ac:dyDescent="0.25">
      <c r="A475" s="2">
        <v>1013379</v>
      </c>
      <c r="B475" s="6" t="str">
        <f>"78814192983"</f>
        <v>78814192983</v>
      </c>
      <c r="C475" s="2">
        <v>1013379</v>
      </c>
    </row>
    <row r="476" spans="1:3" x14ac:dyDescent="0.25">
      <c r="A476" s="2">
        <v>1015426</v>
      </c>
      <c r="B476" s="6" t="str">
        <f>"78814192982"</f>
        <v>78814192982</v>
      </c>
      <c r="C476" s="2">
        <v>1015426</v>
      </c>
    </row>
    <row r="477" spans="1:3" x14ac:dyDescent="0.25">
      <c r="A477" s="2">
        <v>101936401</v>
      </c>
      <c r="B477" s="6" t="str">
        <f>"78814192972"</f>
        <v>78814192972</v>
      </c>
      <c r="C477" s="2">
        <v>101936401</v>
      </c>
    </row>
    <row r="478" spans="1:3" x14ac:dyDescent="0.25">
      <c r="A478" s="2">
        <v>1017853</v>
      </c>
      <c r="B478" s="6" t="str">
        <f>"78814192971"</f>
        <v>78814192971</v>
      </c>
      <c r="C478" s="2">
        <v>1017853</v>
      </c>
    </row>
    <row r="479" spans="1:3" x14ac:dyDescent="0.25">
      <c r="A479" s="2">
        <v>8233</v>
      </c>
      <c r="B479" s="6" t="str">
        <f>"78814192968"</f>
        <v>78814192968</v>
      </c>
      <c r="C479" s="2">
        <v>8233</v>
      </c>
    </row>
    <row r="480" spans="1:3" x14ac:dyDescent="0.25">
      <c r="A480" s="4" t="s">
        <v>122</v>
      </c>
      <c r="B480" s="6" t="str">
        <f>"78814192963"</f>
        <v>78814192963</v>
      </c>
      <c r="C480" s="4" t="s">
        <v>122</v>
      </c>
    </row>
    <row r="481" spans="1:3" x14ac:dyDescent="0.25">
      <c r="A481" s="2">
        <v>102343101</v>
      </c>
      <c r="B481" s="6" t="str">
        <f>"78814192953"</f>
        <v>78814192953</v>
      </c>
      <c r="C481" s="2">
        <v>102343101</v>
      </c>
    </row>
    <row r="482" spans="1:3" x14ac:dyDescent="0.25">
      <c r="A482" s="6">
        <v>1014456</v>
      </c>
      <c r="B482" s="6" t="str">
        <f>"78814192949"</f>
        <v>78814192949</v>
      </c>
      <c r="C482" s="6">
        <v>1014456</v>
      </c>
    </row>
    <row r="483" spans="1:3" x14ac:dyDescent="0.25">
      <c r="A483" s="2">
        <v>7591</v>
      </c>
      <c r="B483" s="6" t="str">
        <f>"78814192942"</f>
        <v>78814192942</v>
      </c>
      <c r="C483" s="2">
        <v>7591</v>
      </c>
    </row>
    <row r="484" spans="1:3" x14ac:dyDescent="0.25">
      <c r="A484" s="2">
        <v>101856101</v>
      </c>
      <c r="B484" s="6" t="str">
        <f>"78814192927"</f>
        <v>78814192927</v>
      </c>
      <c r="C484" s="2">
        <v>101856101</v>
      </c>
    </row>
    <row r="485" spans="1:3" x14ac:dyDescent="0.25">
      <c r="A485" s="2">
        <v>4503</v>
      </c>
      <c r="B485" s="6" t="str">
        <f>"78814192925"</f>
        <v>78814192925</v>
      </c>
      <c r="C485" s="2">
        <v>4503</v>
      </c>
    </row>
    <row r="486" spans="1:3" x14ac:dyDescent="0.25">
      <c r="A486" s="6">
        <v>101587702</v>
      </c>
      <c r="B486" s="6" t="str">
        <f>"78814192924"</f>
        <v>78814192924</v>
      </c>
      <c r="C486" s="6">
        <v>101587702</v>
      </c>
    </row>
    <row r="487" spans="1:3" x14ac:dyDescent="0.25">
      <c r="A487" s="2">
        <v>20640</v>
      </c>
      <c r="B487" s="6" t="str">
        <f>"78814192921"</f>
        <v>78814192921</v>
      </c>
      <c r="C487" s="2">
        <v>20640</v>
      </c>
    </row>
    <row r="488" spans="1:3" x14ac:dyDescent="0.25">
      <c r="A488" s="2">
        <v>79150</v>
      </c>
      <c r="B488" s="6" t="str">
        <f>"78814192920"</f>
        <v>78814192920</v>
      </c>
      <c r="C488" s="2">
        <v>79150</v>
      </c>
    </row>
    <row r="489" spans="1:3" x14ac:dyDescent="0.25">
      <c r="A489" s="8">
        <v>102177001</v>
      </c>
      <c r="B489" s="6" t="str">
        <f>"78814192899"</f>
        <v>78814192899</v>
      </c>
      <c r="C489" s="8">
        <v>102177001</v>
      </c>
    </row>
    <row r="490" spans="1:3" x14ac:dyDescent="0.25">
      <c r="A490" s="2">
        <v>101587706</v>
      </c>
      <c r="B490" s="6" t="str">
        <f>"78814192898"</f>
        <v>78814192898</v>
      </c>
      <c r="C490" s="2">
        <v>101587706</v>
      </c>
    </row>
    <row r="491" spans="1:3" x14ac:dyDescent="0.25">
      <c r="A491" s="2">
        <v>101587704</v>
      </c>
      <c r="B491" s="6" t="str">
        <f>"78814192897"</f>
        <v>78814192897</v>
      </c>
      <c r="C491" s="2">
        <v>101587704</v>
      </c>
    </row>
    <row r="492" spans="1:3" x14ac:dyDescent="0.25">
      <c r="A492" s="6">
        <v>101587703</v>
      </c>
      <c r="B492" s="6" t="str">
        <f>"78814192896"</f>
        <v>78814192896</v>
      </c>
      <c r="C492" s="6">
        <v>101587703</v>
      </c>
    </row>
    <row r="493" spans="1:3" x14ac:dyDescent="0.25">
      <c r="A493" s="6">
        <v>101979801</v>
      </c>
      <c r="B493" s="6" t="str">
        <f>"78814192879"</f>
        <v>78814192879</v>
      </c>
      <c r="C493" s="6">
        <v>101979801</v>
      </c>
    </row>
    <row r="494" spans="1:3" x14ac:dyDescent="0.25">
      <c r="A494" s="2">
        <v>1014928</v>
      </c>
      <c r="B494" s="6" t="str">
        <f>"78814192876"</f>
        <v>78814192876</v>
      </c>
      <c r="C494" s="2">
        <v>1014928</v>
      </c>
    </row>
    <row r="495" spans="1:3" x14ac:dyDescent="0.25">
      <c r="A495" s="2">
        <v>101955301</v>
      </c>
      <c r="B495" s="6" t="str">
        <f>"78814192875"</f>
        <v>78814192875</v>
      </c>
      <c r="C495" s="2">
        <v>101955301</v>
      </c>
    </row>
    <row r="496" spans="1:3" x14ac:dyDescent="0.25">
      <c r="A496" s="2">
        <v>101806002</v>
      </c>
      <c r="B496" s="6" t="str">
        <f>"78814192873"</f>
        <v>78814192873</v>
      </c>
      <c r="C496" s="2">
        <v>101806002</v>
      </c>
    </row>
    <row r="497" spans="1:3" x14ac:dyDescent="0.25">
      <c r="A497" s="2">
        <v>101806001</v>
      </c>
      <c r="B497" s="6" t="str">
        <f>"78814192872"</f>
        <v>78814192872</v>
      </c>
      <c r="C497" s="2">
        <v>101806001</v>
      </c>
    </row>
    <row r="498" spans="1:3" x14ac:dyDescent="0.25">
      <c r="A498" s="2">
        <v>102235201</v>
      </c>
      <c r="B498" s="6" t="str">
        <f>"78814192870"</f>
        <v>78814192870</v>
      </c>
      <c r="C498" s="2">
        <v>102235201</v>
      </c>
    </row>
    <row r="499" spans="1:3" x14ac:dyDescent="0.25">
      <c r="A499" s="4">
        <v>102239901</v>
      </c>
      <c r="B499" s="6" t="str">
        <f>"78814192868"</f>
        <v>78814192868</v>
      </c>
      <c r="C499" s="4">
        <v>102239901</v>
      </c>
    </row>
    <row r="500" spans="1:3" x14ac:dyDescent="0.25">
      <c r="A500" s="2">
        <v>102274101</v>
      </c>
      <c r="B500" s="6" t="str">
        <f>"78814192866"</f>
        <v>78814192866</v>
      </c>
      <c r="C500" s="2">
        <v>102274101</v>
      </c>
    </row>
    <row r="501" spans="1:3" x14ac:dyDescent="0.25">
      <c r="A501" s="6">
        <v>102249501</v>
      </c>
      <c r="B501" s="6" t="str">
        <f>"78814192865"</f>
        <v>78814192865</v>
      </c>
      <c r="C501" s="6">
        <v>102249501</v>
      </c>
    </row>
    <row r="502" spans="1:3" x14ac:dyDescent="0.25">
      <c r="A502" s="6">
        <v>102249701</v>
      </c>
      <c r="B502" s="6" t="str">
        <f>"78814192864"</f>
        <v>78814192864</v>
      </c>
      <c r="C502" s="6">
        <v>102249701</v>
      </c>
    </row>
    <row r="503" spans="1:3" x14ac:dyDescent="0.25">
      <c r="A503" s="2">
        <v>101947401</v>
      </c>
      <c r="B503" s="6" t="str">
        <f>"78814192862"</f>
        <v>78814192862</v>
      </c>
      <c r="C503" s="2">
        <v>101947401</v>
      </c>
    </row>
    <row r="504" spans="1:3" x14ac:dyDescent="0.25">
      <c r="A504" s="2">
        <v>101846601</v>
      </c>
      <c r="B504" s="6" t="str">
        <f>"78814192861"</f>
        <v>78814192861</v>
      </c>
      <c r="C504" s="2">
        <v>101846601</v>
      </c>
    </row>
    <row r="505" spans="1:3" x14ac:dyDescent="0.25">
      <c r="A505" s="2">
        <v>101676001</v>
      </c>
      <c r="B505" s="6" t="str">
        <f>"78814192860"</f>
        <v>78814192860</v>
      </c>
      <c r="C505" s="2">
        <v>101676001</v>
      </c>
    </row>
    <row r="506" spans="1:3" x14ac:dyDescent="0.25">
      <c r="A506" s="2">
        <v>1010158</v>
      </c>
      <c r="B506" s="6" t="str">
        <f>"78814192858"</f>
        <v>78814192858</v>
      </c>
      <c r="C506" s="2">
        <v>1010158</v>
      </c>
    </row>
    <row r="507" spans="1:3" x14ac:dyDescent="0.25">
      <c r="A507" s="2">
        <v>1011887</v>
      </c>
      <c r="B507" s="6" t="str">
        <f>"78814192857"</f>
        <v>78814192857</v>
      </c>
      <c r="C507" s="2">
        <v>1011887</v>
      </c>
    </row>
    <row r="508" spans="1:3" x14ac:dyDescent="0.25">
      <c r="A508" s="2">
        <v>102278001</v>
      </c>
      <c r="B508" s="6" t="str">
        <f>"78814192848"</f>
        <v>78814192848</v>
      </c>
      <c r="C508" s="2">
        <v>102278001</v>
      </c>
    </row>
    <row r="509" spans="1:3" x14ac:dyDescent="0.25">
      <c r="A509" s="2" t="s">
        <v>123</v>
      </c>
      <c r="B509" s="6" t="str">
        <f>"78814192839"</f>
        <v>78814192839</v>
      </c>
      <c r="C509" s="2" t="s">
        <v>123</v>
      </c>
    </row>
    <row r="510" spans="1:3" x14ac:dyDescent="0.25">
      <c r="A510" s="2" t="s">
        <v>124</v>
      </c>
      <c r="B510" s="6" t="str">
        <f>"78814192838"</f>
        <v>78814192838</v>
      </c>
      <c r="C510" s="2" t="s">
        <v>124</v>
      </c>
    </row>
    <row r="511" spans="1:3" x14ac:dyDescent="0.25">
      <c r="A511" s="2">
        <v>101965401</v>
      </c>
      <c r="B511" s="6" t="str">
        <f>"78814192837"</f>
        <v>78814192837</v>
      </c>
      <c r="C511" s="2">
        <v>101965401</v>
      </c>
    </row>
    <row r="512" spans="1:3" x14ac:dyDescent="0.25">
      <c r="A512" s="2">
        <v>1010878</v>
      </c>
      <c r="B512" s="6" t="str">
        <f>"78814192834"</f>
        <v>78814192834</v>
      </c>
      <c r="C512" s="2">
        <v>1010878</v>
      </c>
    </row>
    <row r="513" spans="1:3" x14ac:dyDescent="0.25">
      <c r="A513" s="6">
        <v>1014010</v>
      </c>
      <c r="B513" s="6" t="str">
        <f>"78814192833"</f>
        <v>78814192833</v>
      </c>
      <c r="C513" s="6">
        <v>1014010</v>
      </c>
    </row>
    <row r="514" spans="1:3" x14ac:dyDescent="0.25">
      <c r="A514" s="2">
        <v>1015583</v>
      </c>
      <c r="B514" s="6" t="str">
        <f>"78814192830"</f>
        <v>78814192830</v>
      </c>
      <c r="C514" s="2">
        <v>1015583</v>
      </c>
    </row>
    <row r="515" spans="1:3" x14ac:dyDescent="0.25">
      <c r="A515" s="2">
        <v>1010436</v>
      </c>
      <c r="B515" s="6" t="str">
        <f>"78814192828"</f>
        <v>78814192828</v>
      </c>
      <c r="C515" s="2">
        <v>1010436</v>
      </c>
    </row>
    <row r="516" spans="1:3" x14ac:dyDescent="0.25">
      <c r="A516" s="6">
        <v>1015139</v>
      </c>
      <c r="B516" s="6" t="str">
        <f>"78814192827"</f>
        <v>78814192827</v>
      </c>
      <c r="C516" s="6">
        <v>1015139</v>
      </c>
    </row>
    <row r="517" spans="1:3" x14ac:dyDescent="0.25">
      <c r="A517" s="2">
        <v>1016289</v>
      </c>
      <c r="B517" s="6" t="str">
        <f>"78814192826"</f>
        <v>78814192826</v>
      </c>
      <c r="C517" s="2">
        <v>1016289</v>
      </c>
    </row>
    <row r="518" spans="1:3" x14ac:dyDescent="0.25">
      <c r="A518" s="2">
        <v>1017779</v>
      </c>
      <c r="B518" s="6" t="str">
        <f>"78814192825"</f>
        <v>78814192825</v>
      </c>
      <c r="C518" s="2">
        <v>1017779</v>
      </c>
    </row>
    <row r="519" spans="1:3" x14ac:dyDescent="0.25">
      <c r="A519" s="2">
        <v>1017380</v>
      </c>
      <c r="B519" s="6" t="str">
        <f>"78814192824"</f>
        <v>78814192824</v>
      </c>
      <c r="C519" s="2">
        <v>1017380</v>
      </c>
    </row>
    <row r="520" spans="1:3" x14ac:dyDescent="0.25">
      <c r="A520" s="2">
        <v>1015613</v>
      </c>
      <c r="B520" s="6" t="str">
        <f>"78814192823"</f>
        <v>78814192823</v>
      </c>
      <c r="C520" s="2">
        <v>1015613</v>
      </c>
    </row>
    <row r="521" spans="1:3" x14ac:dyDescent="0.25">
      <c r="A521" s="2">
        <v>1017424</v>
      </c>
      <c r="B521" s="6" t="str">
        <f>"78814192822"</f>
        <v>78814192822</v>
      </c>
      <c r="C521" s="2">
        <v>1017424</v>
      </c>
    </row>
    <row r="522" spans="1:3" x14ac:dyDescent="0.25">
      <c r="A522" s="2">
        <v>102164101</v>
      </c>
      <c r="B522" s="6" t="str">
        <f>"78814192819"</f>
        <v>78814192819</v>
      </c>
      <c r="C522" s="2">
        <v>102164101</v>
      </c>
    </row>
    <row r="523" spans="1:3" x14ac:dyDescent="0.25">
      <c r="A523" s="2">
        <v>102164001</v>
      </c>
      <c r="B523" s="6" t="str">
        <f>"78814192808"</f>
        <v>78814192808</v>
      </c>
      <c r="C523" s="2">
        <v>102164001</v>
      </c>
    </row>
    <row r="524" spans="1:3" x14ac:dyDescent="0.25">
      <c r="A524" s="2">
        <v>1013443</v>
      </c>
      <c r="B524" s="6" t="str">
        <f>"78814192803"</f>
        <v>78814192803</v>
      </c>
      <c r="C524" s="2">
        <v>1013443</v>
      </c>
    </row>
    <row r="525" spans="1:3" x14ac:dyDescent="0.25">
      <c r="A525" s="2">
        <v>1015768</v>
      </c>
      <c r="B525" s="6" t="str">
        <f>"78814192800"</f>
        <v>78814192800</v>
      </c>
      <c r="C525" s="2">
        <v>1015768</v>
      </c>
    </row>
    <row r="526" spans="1:3" x14ac:dyDescent="0.25">
      <c r="A526" s="6">
        <v>1014728</v>
      </c>
      <c r="B526" s="6" t="str">
        <f>"78814192799"</f>
        <v>78814192799</v>
      </c>
      <c r="C526" s="6">
        <v>1014728</v>
      </c>
    </row>
    <row r="527" spans="1:3" x14ac:dyDescent="0.25">
      <c r="A527" s="2">
        <v>1015636</v>
      </c>
      <c r="B527" s="6" t="str">
        <f>"78814192798"</f>
        <v>78814192798</v>
      </c>
      <c r="C527" s="2">
        <v>1015636</v>
      </c>
    </row>
    <row r="528" spans="1:3" x14ac:dyDescent="0.25">
      <c r="A528" s="6">
        <v>1012970</v>
      </c>
      <c r="B528" s="6" t="str">
        <f>"78814192797"</f>
        <v>78814192797</v>
      </c>
      <c r="C528" s="6">
        <v>1012970</v>
      </c>
    </row>
    <row r="529" spans="1:3" x14ac:dyDescent="0.25">
      <c r="A529" s="2">
        <v>1011590</v>
      </c>
      <c r="B529" s="6" t="str">
        <f>"78814192790"</f>
        <v>78814192790</v>
      </c>
      <c r="C529" s="2">
        <v>1011590</v>
      </c>
    </row>
    <row r="530" spans="1:3" x14ac:dyDescent="0.25">
      <c r="A530" s="4">
        <v>1017830</v>
      </c>
      <c r="B530" s="6" t="str">
        <f>"78814192789"</f>
        <v>78814192789</v>
      </c>
      <c r="C530" s="4">
        <v>1017830</v>
      </c>
    </row>
    <row r="531" spans="1:3" x14ac:dyDescent="0.25">
      <c r="A531" s="4">
        <v>101822501</v>
      </c>
      <c r="B531" s="6" t="str">
        <f>"78814192786"</f>
        <v>78814192786</v>
      </c>
      <c r="C531" s="4">
        <v>101822501</v>
      </c>
    </row>
    <row r="532" spans="1:3" x14ac:dyDescent="0.25">
      <c r="A532" s="4">
        <v>101856001</v>
      </c>
      <c r="B532" s="6" t="str">
        <f>"78814192757"</f>
        <v>78814192757</v>
      </c>
      <c r="C532" s="4">
        <v>101856001</v>
      </c>
    </row>
    <row r="533" spans="1:3" x14ac:dyDescent="0.25">
      <c r="A533" s="6">
        <v>101826801</v>
      </c>
      <c r="B533" s="6" t="str">
        <f>"78814192178"</f>
        <v>78814192178</v>
      </c>
      <c r="C533" s="6">
        <v>101826801</v>
      </c>
    </row>
    <row r="534" spans="1:3" x14ac:dyDescent="0.25">
      <c r="A534" s="2">
        <v>1014530</v>
      </c>
      <c r="B534" s="6" t="str">
        <f>"78814192177"</f>
        <v>78814192177</v>
      </c>
      <c r="C534" s="2">
        <v>1014530</v>
      </c>
    </row>
    <row r="535" spans="1:3" x14ac:dyDescent="0.25">
      <c r="A535" s="2">
        <v>1017721</v>
      </c>
      <c r="B535" s="6" t="str">
        <f>"78814192175"</f>
        <v>78814192175</v>
      </c>
      <c r="C535" s="2">
        <v>1017721</v>
      </c>
    </row>
    <row r="536" spans="1:3" x14ac:dyDescent="0.25">
      <c r="A536" s="6">
        <v>1015741</v>
      </c>
      <c r="B536" s="6" t="str">
        <f>"78814192171"</f>
        <v>78814192171</v>
      </c>
      <c r="C536" s="6">
        <v>1015741</v>
      </c>
    </row>
    <row r="537" spans="1:3" x14ac:dyDescent="0.25">
      <c r="A537" s="2">
        <v>1017239</v>
      </c>
      <c r="B537" s="6" t="str">
        <f>"78814192130"</f>
        <v>78814192130</v>
      </c>
      <c r="C537" s="2">
        <v>1017239</v>
      </c>
    </row>
    <row r="538" spans="1:3" x14ac:dyDescent="0.25">
      <c r="A538" s="2">
        <v>1014807</v>
      </c>
      <c r="B538" s="6" t="str">
        <f>"78814192104"</f>
        <v>78814192104</v>
      </c>
      <c r="C538" s="2">
        <v>1014807</v>
      </c>
    </row>
    <row r="539" spans="1:3" x14ac:dyDescent="0.25">
      <c r="A539" s="3">
        <v>1011439</v>
      </c>
      <c r="B539" s="6" t="str">
        <f>"78814192103"</f>
        <v>78814192103</v>
      </c>
      <c r="C539" s="3">
        <v>1011439</v>
      </c>
    </row>
    <row r="540" spans="1:3" x14ac:dyDescent="0.25">
      <c r="A540" s="2">
        <v>1013860</v>
      </c>
      <c r="B540" s="6" t="str">
        <f>"78814192093"</f>
        <v>78814192093</v>
      </c>
      <c r="C540" s="2">
        <v>1013860</v>
      </c>
    </row>
    <row r="541" spans="1:3" x14ac:dyDescent="0.25">
      <c r="A541" s="2">
        <v>1015778</v>
      </c>
      <c r="B541" s="6" t="str">
        <f>"78814192050"</f>
        <v>78814192050</v>
      </c>
      <c r="C541" s="2">
        <v>1015778</v>
      </c>
    </row>
    <row r="542" spans="1:3" x14ac:dyDescent="0.25">
      <c r="A542" s="2">
        <v>1016356</v>
      </c>
      <c r="B542" s="6" t="str">
        <f>"78814192031"</f>
        <v>78814192031</v>
      </c>
      <c r="C542" s="2">
        <v>1016356</v>
      </c>
    </row>
    <row r="543" spans="1:3" x14ac:dyDescent="0.25">
      <c r="A543" s="6">
        <v>1015103</v>
      </c>
      <c r="B543" s="6" t="str">
        <f>"78814192008"</f>
        <v>78814192008</v>
      </c>
      <c r="C543" s="6">
        <v>1015103</v>
      </c>
    </row>
    <row r="544" spans="1:3" x14ac:dyDescent="0.25">
      <c r="A544" s="2">
        <v>103860501</v>
      </c>
      <c r="B544" s="6" t="str">
        <f>"78814191157"</f>
        <v>78814191157</v>
      </c>
      <c r="C544" s="2">
        <v>103860501</v>
      </c>
    </row>
    <row r="545" spans="1:3" x14ac:dyDescent="0.25">
      <c r="A545" s="2">
        <v>103799401</v>
      </c>
      <c r="B545" s="6" t="str">
        <f>"78814190742"</f>
        <v>78814190742</v>
      </c>
      <c r="C545" s="2">
        <v>103799401</v>
      </c>
    </row>
    <row r="546" spans="1:3" x14ac:dyDescent="0.25">
      <c r="A546" s="2">
        <v>103282601</v>
      </c>
      <c r="B546" s="6" t="str">
        <f>"78814112832"</f>
        <v>78814112832</v>
      </c>
      <c r="C546" s="2">
        <v>103282601</v>
      </c>
    </row>
    <row r="547" spans="1:3" x14ac:dyDescent="0.25">
      <c r="A547" s="2">
        <v>102263701</v>
      </c>
      <c r="B547" s="6" t="str">
        <f>"78814112831"</f>
        <v>78814112831</v>
      </c>
      <c r="C547" s="2">
        <v>102263701</v>
      </c>
    </row>
    <row r="548" spans="1:3" x14ac:dyDescent="0.25">
      <c r="A548" s="2">
        <v>7174</v>
      </c>
      <c r="B548" s="6" t="str">
        <f>"78814112830"</f>
        <v>78814112830</v>
      </c>
      <c r="C548" s="2">
        <v>7174</v>
      </c>
    </row>
    <row r="549" spans="1:3" x14ac:dyDescent="0.25">
      <c r="A549" s="2">
        <v>1242</v>
      </c>
      <c r="B549" s="6" t="str">
        <f>"78814112829"</f>
        <v>78814112829</v>
      </c>
      <c r="C549" s="2">
        <v>1242</v>
      </c>
    </row>
    <row r="550" spans="1:3" x14ac:dyDescent="0.25">
      <c r="A550" s="2">
        <v>96704176</v>
      </c>
      <c r="B550" s="6" t="str">
        <f>"78814111815"</f>
        <v>78814111815</v>
      </c>
      <c r="C550" s="2">
        <v>96704176</v>
      </c>
    </row>
    <row r="551" spans="1:3" x14ac:dyDescent="0.25">
      <c r="A551" s="2" t="s">
        <v>125</v>
      </c>
      <c r="B551" s="6" t="str">
        <f>"78814111444"</f>
        <v>78814111444</v>
      </c>
      <c r="C551" s="2" t="s">
        <v>125</v>
      </c>
    </row>
    <row r="552" spans="1:3" x14ac:dyDescent="0.25">
      <c r="A552" s="6">
        <v>103213001</v>
      </c>
      <c r="B552" s="6" t="str">
        <f>"78621098986"</f>
        <v>78621098986</v>
      </c>
      <c r="C552" s="6">
        <v>103213001</v>
      </c>
    </row>
    <row r="553" spans="1:3" x14ac:dyDescent="0.25">
      <c r="A553" s="2">
        <v>1014808</v>
      </c>
      <c r="B553" s="6" t="str">
        <f>"78454921176"</f>
        <v>78454921176</v>
      </c>
      <c r="C553" s="2">
        <v>1014808</v>
      </c>
    </row>
    <row r="554" spans="1:3" x14ac:dyDescent="0.25">
      <c r="A554" s="6">
        <v>101966801</v>
      </c>
      <c r="B554" s="6" t="str">
        <f>"78433737598"</f>
        <v>78433737598</v>
      </c>
      <c r="C554" s="6">
        <v>101966801</v>
      </c>
    </row>
    <row r="555" spans="1:3" x14ac:dyDescent="0.25">
      <c r="A555" s="6">
        <v>1011843</v>
      </c>
      <c r="B555" s="6" t="str">
        <f>"78055398998"</f>
        <v>78055398998</v>
      </c>
      <c r="C555" s="6">
        <v>1011843</v>
      </c>
    </row>
    <row r="556" spans="1:3" x14ac:dyDescent="0.25">
      <c r="A556" s="2">
        <v>103531501</v>
      </c>
      <c r="B556" s="6" t="str">
        <f>"78055398997"</f>
        <v>78055398997</v>
      </c>
      <c r="C556" s="2">
        <v>103531501</v>
      </c>
    </row>
    <row r="557" spans="1:3" x14ac:dyDescent="0.25">
      <c r="A557" s="2">
        <v>105036801</v>
      </c>
      <c r="B557" s="6" t="str">
        <f>"78055398991"</f>
        <v>78055398991</v>
      </c>
      <c r="C557" s="2">
        <v>105036801</v>
      </c>
    </row>
    <row r="558" spans="1:3" x14ac:dyDescent="0.25">
      <c r="A558" s="2" t="s">
        <v>126</v>
      </c>
      <c r="B558" s="6" t="str">
        <f>"78055397719"</f>
        <v>78055397719</v>
      </c>
      <c r="C558" s="2" t="s">
        <v>126</v>
      </c>
    </row>
    <row r="559" spans="1:3" x14ac:dyDescent="0.25">
      <c r="A559" s="2" t="s">
        <v>127</v>
      </c>
      <c r="B559" s="6" t="str">
        <f>"78055397717"</f>
        <v>78055397717</v>
      </c>
      <c r="C559" s="2" t="s">
        <v>127</v>
      </c>
    </row>
    <row r="560" spans="1:3" x14ac:dyDescent="0.25">
      <c r="A560" s="4">
        <v>4262</v>
      </c>
      <c r="B560" s="6" t="str">
        <f>"78055390056"</f>
        <v>78055390056</v>
      </c>
      <c r="C560" s="4">
        <v>4262</v>
      </c>
    </row>
    <row r="561" spans="1:3" x14ac:dyDescent="0.25">
      <c r="A561" s="2">
        <v>102869401</v>
      </c>
      <c r="B561" s="6" t="str">
        <f>"78020698995"</f>
        <v>78020698995</v>
      </c>
      <c r="C561" s="2">
        <v>102869401</v>
      </c>
    </row>
    <row r="562" spans="1:3" x14ac:dyDescent="0.25">
      <c r="A562" s="2">
        <v>102882501</v>
      </c>
      <c r="B562" s="6" t="str">
        <f>"78020698994"</f>
        <v>78020698994</v>
      </c>
      <c r="C562" s="2">
        <v>102882501</v>
      </c>
    </row>
    <row r="563" spans="1:3" x14ac:dyDescent="0.25">
      <c r="A563" s="2">
        <v>103180101</v>
      </c>
      <c r="B563" s="6" t="str">
        <f>"78020698993"</f>
        <v>78020698993</v>
      </c>
      <c r="C563" s="2">
        <v>103180101</v>
      </c>
    </row>
    <row r="564" spans="1:3" x14ac:dyDescent="0.25">
      <c r="A564" s="2">
        <v>103835901</v>
      </c>
      <c r="B564" s="6" t="str">
        <f>"78020698705"</f>
        <v>78020698705</v>
      </c>
      <c r="C564" s="2">
        <v>103835901</v>
      </c>
    </row>
    <row r="565" spans="1:3" x14ac:dyDescent="0.25">
      <c r="A565" s="2">
        <v>103235301</v>
      </c>
      <c r="B565" s="6" t="str">
        <f>"78020698457"</f>
        <v>78020698457</v>
      </c>
      <c r="C565" s="2">
        <v>103235301</v>
      </c>
    </row>
    <row r="566" spans="1:3" x14ac:dyDescent="0.25">
      <c r="A566" s="2">
        <v>102838101</v>
      </c>
      <c r="B566" s="6" t="str">
        <f>"78020698445"</f>
        <v>78020698445</v>
      </c>
      <c r="C566" s="2">
        <v>102838101</v>
      </c>
    </row>
    <row r="567" spans="1:3" x14ac:dyDescent="0.25">
      <c r="A567" s="2">
        <v>103198401</v>
      </c>
      <c r="B567" s="6" t="str">
        <f>"78020698259"</f>
        <v>78020698259</v>
      </c>
      <c r="C567" s="2">
        <v>103198401</v>
      </c>
    </row>
    <row r="568" spans="1:3" x14ac:dyDescent="0.25">
      <c r="A568" s="4">
        <v>103324901</v>
      </c>
      <c r="B568" s="6" t="str">
        <f>"78020698056"</f>
        <v>78020698056</v>
      </c>
      <c r="C568" s="4">
        <v>103324901</v>
      </c>
    </row>
    <row r="569" spans="1:3" x14ac:dyDescent="0.25">
      <c r="A569" s="2">
        <v>105112501</v>
      </c>
      <c r="B569" s="6" t="str">
        <f>"78020697238"</f>
        <v>78020697238</v>
      </c>
      <c r="C569" s="2">
        <v>105112501</v>
      </c>
    </row>
    <row r="570" spans="1:3" x14ac:dyDescent="0.25">
      <c r="A570" s="8">
        <v>105112601</v>
      </c>
      <c r="B570" s="6" t="str">
        <f>"78020697237"</f>
        <v>78020697237</v>
      </c>
      <c r="C570" s="8">
        <v>105112601</v>
      </c>
    </row>
    <row r="571" spans="1:3" x14ac:dyDescent="0.25">
      <c r="A571" s="2">
        <v>105113001</v>
      </c>
      <c r="B571" s="6" t="str">
        <f>"78020697236"</f>
        <v>78020697236</v>
      </c>
      <c r="C571" s="2">
        <v>105113001</v>
      </c>
    </row>
    <row r="572" spans="1:3" x14ac:dyDescent="0.25">
      <c r="A572" s="2">
        <v>105113101</v>
      </c>
      <c r="B572" s="6" t="str">
        <f>"78020697235"</f>
        <v>78020697235</v>
      </c>
      <c r="C572" s="2">
        <v>105113101</v>
      </c>
    </row>
    <row r="573" spans="1:3" x14ac:dyDescent="0.25">
      <c r="A573" s="2">
        <v>105112901</v>
      </c>
      <c r="B573" s="6" t="str">
        <f>"78020697234"</f>
        <v>78020697234</v>
      </c>
      <c r="C573" s="2">
        <v>105112901</v>
      </c>
    </row>
    <row r="574" spans="1:3" x14ac:dyDescent="0.25">
      <c r="A574" s="8">
        <v>105146701</v>
      </c>
      <c r="B574" s="6" t="str">
        <f>"78020697135"</f>
        <v>78020697135</v>
      </c>
      <c r="C574" s="8">
        <v>105146701</v>
      </c>
    </row>
    <row r="575" spans="1:3" x14ac:dyDescent="0.25">
      <c r="A575" s="2">
        <v>103805601</v>
      </c>
      <c r="B575" s="6" t="str">
        <f>"78020694735"</f>
        <v>78020694735</v>
      </c>
      <c r="C575" s="2">
        <v>103805601</v>
      </c>
    </row>
    <row r="576" spans="1:3" x14ac:dyDescent="0.25">
      <c r="A576" s="2">
        <v>103805501</v>
      </c>
      <c r="B576" s="6" t="str">
        <f>"78020694733"</f>
        <v>78020694733</v>
      </c>
      <c r="C576" s="2">
        <v>103805501</v>
      </c>
    </row>
    <row r="577" spans="1:3" x14ac:dyDescent="0.25">
      <c r="A577" s="2">
        <v>103805701</v>
      </c>
      <c r="B577" s="6" t="str">
        <f>"78020694731"</f>
        <v>78020694731</v>
      </c>
      <c r="C577" s="2">
        <v>103805701</v>
      </c>
    </row>
    <row r="578" spans="1:3" x14ac:dyDescent="0.25">
      <c r="A578" s="2" t="s">
        <v>128</v>
      </c>
      <c r="B578" s="6" t="str">
        <f>"78020694559"</f>
        <v>78020694559</v>
      </c>
      <c r="C578" s="2" t="s">
        <v>128</v>
      </c>
    </row>
    <row r="579" spans="1:3" x14ac:dyDescent="0.25">
      <c r="A579" s="6">
        <v>102258401</v>
      </c>
      <c r="B579" s="6" t="str">
        <f>"74114998903"</f>
        <v>74114998903</v>
      </c>
      <c r="C579" s="6">
        <v>102258401</v>
      </c>
    </row>
    <row r="580" spans="1:3" x14ac:dyDescent="0.25">
      <c r="A580" s="6">
        <v>1015162</v>
      </c>
      <c r="B580" s="6" t="str">
        <f>"74114998885"</f>
        <v>74114998885</v>
      </c>
      <c r="C580" s="6">
        <v>1015162</v>
      </c>
    </row>
    <row r="581" spans="1:3" x14ac:dyDescent="0.25">
      <c r="A581" s="2">
        <v>102233701</v>
      </c>
      <c r="B581" s="6" t="str">
        <f>"74114997678"</f>
        <v>74114997678</v>
      </c>
      <c r="C581" s="2">
        <v>102233701</v>
      </c>
    </row>
    <row r="582" spans="1:3" x14ac:dyDescent="0.25">
      <c r="A582" s="2">
        <v>105195501</v>
      </c>
      <c r="B582" s="6" t="str">
        <f>"74114997627"</f>
        <v>74114997627</v>
      </c>
      <c r="C582" s="2">
        <v>105195501</v>
      </c>
    </row>
    <row r="583" spans="1:3" x14ac:dyDescent="0.25">
      <c r="A583" s="6">
        <v>1016365</v>
      </c>
      <c r="B583" s="6" t="str">
        <f>"74114916082"</f>
        <v>74114916082</v>
      </c>
      <c r="C583" s="6">
        <v>1016365</v>
      </c>
    </row>
    <row r="584" spans="1:3" x14ac:dyDescent="0.25">
      <c r="A584" s="2">
        <v>324485</v>
      </c>
      <c r="B584" s="6" t="str">
        <f>"74114909516"</f>
        <v>74114909516</v>
      </c>
      <c r="C584" s="2">
        <v>324485</v>
      </c>
    </row>
    <row r="585" spans="1:3" x14ac:dyDescent="0.25">
      <c r="A585" s="6">
        <v>102526701</v>
      </c>
      <c r="B585" s="6" t="str">
        <f>"74114903980"</f>
        <v>74114903980</v>
      </c>
      <c r="C585" s="6">
        <v>102526701</v>
      </c>
    </row>
    <row r="586" spans="1:3" x14ac:dyDescent="0.25">
      <c r="A586" s="2">
        <v>1015220</v>
      </c>
      <c r="B586" s="6" t="str">
        <f>"74114903979"</f>
        <v>74114903979</v>
      </c>
      <c r="C586" s="2">
        <v>1015220</v>
      </c>
    </row>
    <row r="587" spans="1:3" x14ac:dyDescent="0.25">
      <c r="A587" s="2">
        <v>8990</v>
      </c>
      <c r="B587" s="6" t="str">
        <f>"72849491850"</f>
        <v>72849491850</v>
      </c>
      <c r="C587" s="2">
        <v>8990</v>
      </c>
    </row>
    <row r="588" spans="1:3" x14ac:dyDescent="0.25">
      <c r="A588" s="2">
        <v>102025401</v>
      </c>
      <c r="B588" s="6" t="str">
        <f>"72849491273"</f>
        <v>72849491273</v>
      </c>
      <c r="C588" s="2">
        <v>102025401</v>
      </c>
    </row>
    <row r="589" spans="1:3" x14ac:dyDescent="0.25">
      <c r="A589" s="2">
        <v>8639</v>
      </c>
      <c r="B589" s="6" t="str">
        <f>"72849491110"</f>
        <v>72849491110</v>
      </c>
      <c r="C589" s="2">
        <v>8639</v>
      </c>
    </row>
    <row r="590" spans="1:3" x14ac:dyDescent="0.25">
      <c r="A590" s="2">
        <v>105291</v>
      </c>
      <c r="B590" s="6" t="str">
        <f>"40571594752"</f>
        <v>40571594752</v>
      </c>
      <c r="C590" s="2">
        <v>105291</v>
      </c>
    </row>
    <row r="591" spans="1:3" x14ac:dyDescent="0.25">
      <c r="A591" s="2">
        <v>105291</v>
      </c>
      <c r="B591" s="6" t="str">
        <f>"40571594750"</f>
        <v>40571594750</v>
      </c>
      <c r="C591" s="2">
        <v>105291</v>
      </c>
    </row>
    <row r="592" spans="1:3" x14ac:dyDescent="0.25">
      <c r="A592" s="2">
        <v>103594101</v>
      </c>
      <c r="B592" s="6" t="str">
        <f>"40571593879"</f>
        <v>40571593879</v>
      </c>
      <c r="C592" s="2">
        <v>103594101</v>
      </c>
    </row>
    <row r="593" spans="1:3" x14ac:dyDescent="0.25">
      <c r="A593" s="2" t="s">
        <v>129</v>
      </c>
      <c r="B593" s="6" t="str">
        <f>"40571500036"</f>
        <v>40571500036</v>
      </c>
      <c r="C593" s="2" t="s">
        <v>129</v>
      </c>
    </row>
    <row r="594" spans="1:3" x14ac:dyDescent="0.25">
      <c r="A594" s="2">
        <v>102517601</v>
      </c>
      <c r="B594" s="6" t="str">
        <f>"40571500035"</f>
        <v>40571500035</v>
      </c>
      <c r="C594" s="2">
        <v>102517601</v>
      </c>
    </row>
    <row r="595" spans="1:3" x14ac:dyDescent="0.25">
      <c r="A595" s="2" t="s">
        <v>130</v>
      </c>
      <c r="B595" s="6" t="str">
        <f>"40571500033"</f>
        <v>40571500033</v>
      </c>
      <c r="C595" s="2" t="s">
        <v>130</v>
      </c>
    </row>
    <row r="596" spans="1:3" x14ac:dyDescent="0.25">
      <c r="A596" s="2">
        <v>102680001</v>
      </c>
      <c r="B596" s="6" t="str">
        <f>"40571500031"</f>
        <v>40571500031</v>
      </c>
      <c r="C596" s="2">
        <v>102680001</v>
      </c>
    </row>
    <row r="597" spans="1:3" x14ac:dyDescent="0.25">
      <c r="A597" s="2">
        <v>102911601</v>
      </c>
      <c r="B597" s="6" t="str">
        <f>"40571500030"</f>
        <v>40571500030</v>
      </c>
      <c r="C597" s="2">
        <v>102911601</v>
      </c>
    </row>
    <row r="598" spans="1:3" x14ac:dyDescent="0.25">
      <c r="A598" s="2">
        <v>102742701</v>
      </c>
      <c r="B598" s="6" t="str">
        <f>"40571500029"</f>
        <v>40571500029</v>
      </c>
      <c r="C598" s="2">
        <v>102742701</v>
      </c>
    </row>
    <row r="599" spans="1:3" x14ac:dyDescent="0.25">
      <c r="A599" s="2">
        <v>1014110</v>
      </c>
      <c r="B599" s="6" t="str">
        <f>"40571500027"</f>
        <v>40571500027</v>
      </c>
      <c r="C599" s="2">
        <v>1014110</v>
      </c>
    </row>
    <row r="600" spans="1:3" x14ac:dyDescent="0.25">
      <c r="A600" s="2">
        <v>102807101</v>
      </c>
      <c r="B600" s="6" t="str">
        <f>"40571500026"</f>
        <v>40571500026</v>
      </c>
      <c r="C600" s="2">
        <v>102807101</v>
      </c>
    </row>
    <row r="601" spans="1:3" x14ac:dyDescent="0.25">
      <c r="A601" s="2">
        <v>1016717</v>
      </c>
      <c r="B601" s="6" t="str">
        <f>"40571500025"</f>
        <v>40571500025</v>
      </c>
      <c r="C601" s="2">
        <v>1016717</v>
      </c>
    </row>
    <row r="602" spans="1:3" x14ac:dyDescent="0.25">
      <c r="A602" s="2">
        <v>102274501</v>
      </c>
      <c r="B602" s="6" t="str">
        <f>"40310059629"</f>
        <v>40310059629</v>
      </c>
      <c r="C602" s="2">
        <v>102274501</v>
      </c>
    </row>
    <row r="603" spans="1:3" x14ac:dyDescent="0.25">
      <c r="A603" s="6">
        <v>102274501</v>
      </c>
      <c r="B603" s="6" t="str">
        <f>"40310059628"</f>
        <v>40310059628</v>
      </c>
      <c r="C603" s="6">
        <v>102274501</v>
      </c>
    </row>
    <row r="604" spans="1:3" x14ac:dyDescent="0.25">
      <c r="A604" s="2">
        <v>1011480</v>
      </c>
      <c r="B604" s="6" t="str">
        <f>"09596936544"</f>
        <v>09596936544</v>
      </c>
      <c r="C604" s="2">
        <v>1011480</v>
      </c>
    </row>
    <row r="605" spans="1:3" x14ac:dyDescent="0.25">
      <c r="A605" s="6">
        <v>102357801</v>
      </c>
      <c r="B605" s="6" t="str">
        <f>"07945863068"</f>
        <v>07945863068</v>
      </c>
      <c r="C605" s="6">
        <v>102357801</v>
      </c>
    </row>
    <row r="606" spans="1:3" x14ac:dyDescent="0.25">
      <c r="A606" s="2">
        <v>102936801</v>
      </c>
      <c r="B606" s="6" t="str">
        <f>"05171298994"</f>
        <v>05171298994</v>
      </c>
      <c r="C606" s="2">
        <v>102936801</v>
      </c>
    </row>
    <row r="607" spans="1:3" x14ac:dyDescent="0.25">
      <c r="A607" s="8">
        <v>105114806</v>
      </c>
      <c r="B607" s="6" t="str">
        <f>"05171281463"</f>
        <v>05171281463</v>
      </c>
      <c r="C607" s="8">
        <v>105114806</v>
      </c>
    </row>
    <row r="608" spans="1:3" x14ac:dyDescent="0.25">
      <c r="A608" s="8">
        <v>105114804</v>
      </c>
      <c r="B608" s="8" t="str">
        <f>"05171281460"</f>
        <v>05171281460</v>
      </c>
      <c r="C608" s="8">
        <v>105114804</v>
      </c>
    </row>
    <row r="609" spans="1:3" x14ac:dyDescent="0.25">
      <c r="A609" s="8">
        <v>105114802</v>
      </c>
      <c r="B609" s="8" t="str">
        <f>"05171212309"</f>
        <v>05171212309</v>
      </c>
      <c r="C609" s="8">
        <v>105114802</v>
      </c>
    </row>
    <row r="610" spans="1:3" x14ac:dyDescent="0.25">
      <c r="A610" s="2">
        <v>1015011</v>
      </c>
      <c r="B610" s="6" t="str">
        <f>"05171270392"</f>
        <v>05171270392</v>
      </c>
      <c r="C610" s="2">
        <v>1015011</v>
      </c>
    </row>
    <row r="611" spans="1:3" x14ac:dyDescent="0.25">
      <c r="A611" s="2">
        <v>103924801</v>
      </c>
      <c r="B611" s="6" t="str">
        <f>"05171264663"</f>
        <v>05171264663</v>
      </c>
      <c r="C611" s="2">
        <v>103924801</v>
      </c>
    </row>
    <row r="612" spans="1:3" x14ac:dyDescent="0.25">
      <c r="A612" s="2">
        <v>102259801</v>
      </c>
      <c r="B612" s="6" t="str">
        <f>"05171263201"</f>
        <v>05171263201</v>
      </c>
      <c r="C612" s="2">
        <v>102259801</v>
      </c>
    </row>
    <row r="613" spans="1:3" x14ac:dyDescent="0.25">
      <c r="A613" s="2">
        <v>102492301</v>
      </c>
      <c r="B613" s="6" t="str">
        <f>"05171210370"</f>
        <v>05171210370</v>
      </c>
      <c r="C613" s="2">
        <v>102492301</v>
      </c>
    </row>
    <row r="614" spans="1:3" x14ac:dyDescent="0.25">
      <c r="A614" s="2">
        <v>102492201</v>
      </c>
      <c r="B614" s="6" t="str">
        <f>"05171210369"</f>
        <v>05171210369</v>
      </c>
      <c r="C614" s="2">
        <v>102492201</v>
      </c>
    </row>
    <row r="615" spans="1:3" x14ac:dyDescent="0.25">
      <c r="A615" s="2">
        <v>1016423</v>
      </c>
      <c r="B615" s="6" t="str">
        <f>"05171210368"</f>
        <v>05171210368</v>
      </c>
      <c r="C615" s="2">
        <v>1016423</v>
      </c>
    </row>
    <row r="616" spans="1:3" x14ac:dyDescent="0.25">
      <c r="A616" s="2">
        <v>102538601</v>
      </c>
      <c r="B616" s="6" t="str">
        <f>"05171210367"</f>
        <v>05171210367</v>
      </c>
      <c r="C616" s="2">
        <v>102538601</v>
      </c>
    </row>
    <row r="617" spans="1:3" x14ac:dyDescent="0.25">
      <c r="A617" s="2">
        <v>1012295</v>
      </c>
      <c r="B617" s="6" t="str">
        <f>"05171210366"</f>
        <v>05171210366</v>
      </c>
      <c r="C617" s="2">
        <v>1012295</v>
      </c>
    </row>
    <row r="618" spans="1:3" x14ac:dyDescent="0.25">
      <c r="A618" s="2">
        <v>1014471</v>
      </c>
      <c r="B618" s="6" t="str">
        <f>"05113106375"</f>
        <v>05113106375</v>
      </c>
      <c r="C618" s="2">
        <v>1014471</v>
      </c>
    </row>
    <row r="619" spans="1:3" x14ac:dyDescent="0.25">
      <c r="A619" s="2">
        <v>1011582</v>
      </c>
      <c r="B619" s="6" t="str">
        <f>"03129340194"</f>
        <v>03129340194</v>
      </c>
      <c r="C619" s="2">
        <v>1011582</v>
      </c>
    </row>
    <row r="620" spans="1:3" x14ac:dyDescent="0.25">
      <c r="A620" s="6">
        <v>102056201</v>
      </c>
      <c r="B620" s="6" t="str">
        <f>"02120024382"</f>
        <v>02120024382</v>
      </c>
      <c r="C620" s="6">
        <v>102056201</v>
      </c>
    </row>
  </sheetData>
  <sortState ref="A2:C620">
    <sortCondition descending="1"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36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S1"/>
  <sheetViews>
    <sheetView workbookViewId="0"/>
  </sheetViews>
  <sheetFormatPr defaultRowHeight="15" x14ac:dyDescent="0.25"/>
  <cols>
    <col min="2" max="43" width="9.140625" style="15"/>
    <col min="44" max="45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cols>
    <col min="1" max="1" width="9.140625" style="15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2015-02-25T16:54:02Z</dcterms:modified>
</cp:coreProperties>
</file>